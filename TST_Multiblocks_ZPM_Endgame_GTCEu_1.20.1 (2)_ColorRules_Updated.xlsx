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tien\TST-Modern\"/>
    </mc:Choice>
  </mc:AlternateContent>
  <xr:revisionPtr revIDLastSave="0" documentId="13_ncr:1_{D541683C-0943-40D1-BD49-FFC3B93E1F81}" xr6:coauthVersionLast="47" xr6:coauthVersionMax="47" xr10:uidLastSave="{00000000-0000-0000-0000-000000000000}"/>
  <bookViews>
    <workbookView xWindow="4170" yWindow="840" windowWidth="21600" windowHeight="13995" activeTab="1" xr2:uid="{00000000-000D-0000-FFFF-FFFF00000000}"/>
  </bookViews>
  <sheets>
    <sheet name="Tổng quan" sheetId="1" r:id="rId1"/>
    <sheet name="Danh sách máy" sheetId="2" r:id="rId2"/>
    <sheet name="Mapping GTCEu" sheetId="3" r:id="rId3"/>
    <sheet name="Đối chiếu large_machine" sheetId="4" r:id="rId4"/>
    <sheet name="Ngoài phạm vi ZPM" sheetId="5" r:id="rId5"/>
    <sheet name="GTCEu API tham chiếu" sheetId="6" r:id="rId6"/>
    <sheet name="Phương pháp &amp; nguồ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1" l="1"/>
  <c r="E11" i="1"/>
  <c r="E10" i="1"/>
  <c r="E9" i="1"/>
  <c r="B9" i="1"/>
  <c r="E8" i="1"/>
  <c r="B8" i="1"/>
  <c r="B10" i="1" s="1"/>
  <c r="E7" i="1"/>
  <c r="E6" i="1"/>
  <c r="B6" i="1"/>
  <c r="B5" i="1" s="1"/>
  <c r="E5" i="1"/>
</calcChain>
</file>

<file path=xl/sharedStrings.xml><?xml version="1.0" encoding="utf-8"?>
<sst xmlns="http://schemas.openxmlformats.org/spreadsheetml/2006/main" count="1109" uniqueCount="760">
  <si>
    <t>TST 1.7.10 → GTCEu 1.20.1 | Multiblock ZPM → Endgame</t>
  </si>
  <si>
    <t>Đã rà controller TST trong MachineLoader; backlog gồm 25 máy TST và 1 multiblock GT5/GoodGenerator hỗ trợ chuỗi nhiên liệu MegaNq.</t>
  </si>
  <si>
    <t>Chỉ số audit</t>
  </si>
  <si>
    <t>Giá trị</t>
  </si>
  <si>
    <t>Mốc mở khóa</t>
  </si>
  <si>
    <t>Số máy giữ lại</t>
  </si>
  <si>
    <t>Ưu tiên</t>
  </si>
  <si>
    <t>Cách hiểu</t>
  </si>
  <si>
    <t>Lưu ý</t>
  </si>
  <si>
    <t>Controller multiblock active</t>
  </si>
  <si>
    <t>ZPM</t>
  </si>
  <si>
    <t>P1/P2</t>
  </si>
  <si>
    <t>Max(recipe EU/t, linh kiện tiered) = ZPM</t>
  </si>
  <si>
    <t>Chỉ đếm sheet Danh sách máy</t>
  </si>
  <si>
    <t>Ứng viên ZPM → endgame</t>
  </si>
  <si>
    <t>UV</t>
  </si>
  <si>
    <t>Max(recipe EU/t, linh kiện tiered) = UV</t>
  </si>
  <si>
    <t>Nên port: không trùng GTCEu</t>
  </si>
  <si>
    <t>UHV</t>
  </si>
  <si>
    <t>Max(recipe EU/t, linh kiện tiered) = UHV</t>
  </si>
  <si>
    <t>Đã loại: trùng large_machine</t>
  </si>
  <si>
    <t>UEV</t>
  </si>
  <si>
    <t>P3 endgame</t>
  </si>
  <si>
    <t>Max(recipe EU/t, linh kiện tiered) = UEV</t>
  </si>
  <si>
    <t>Ngoài phạm vi / dưới ZPM</t>
  </si>
  <si>
    <t>UIV</t>
  </si>
  <si>
    <t>Max(recipe EU/t, linh kiện tiered) = UIV</t>
  </si>
  <si>
    <t>Tỉ lệ ứng viên bị loại trùng</t>
  </si>
  <si>
    <t>UMV</t>
  </si>
  <si>
    <t>Max(recipe EU/t, linh kiện tiered) = UMV</t>
  </si>
  <si>
    <t>Người dùng loại theo màu đỏ</t>
  </si>
  <si>
    <t>UXV</t>
  </si>
  <si>
    <t>Max(recipe EU/t, linh kiện tiered) = UXV</t>
  </si>
  <si>
    <t>MAX</t>
  </si>
  <si>
    <t>Max(recipe EU/t, linh kiện tiered) = MAX</t>
  </si>
  <si>
    <t>Kết luận sau khi loại máy tương tự GTCEu</t>
  </si>
  <si>
    <t>Sau quy tắc màu và audit source: giữ 25 máy TST trong backlog; bổ sung Naquadah Fuel Refinery từ GT5/GoodGenerator làm multiblock hỗ trợ bắt buộc cho chuỗi nhiên liệu MegaNq. Tổng backlog hiện tại: 26 máy.</t>
  </si>
  <si>
    <t>Danh sách multiblock nên port</t>
  </si>
  <si>
    <t>Gồm máy TST ZPM–endgame cần port và một multiblock GT5/GoodGenerator hỗ trợ chuỗi nhiên liệu MegaNq; dữ liệu máy lấy trực tiếp từ source local.</t>
  </si>
  <si>
    <t>STT</t>
  </si>
  <si>
    <t>Máy / controller</t>
  </si>
  <si>
    <t>Class</t>
  </si>
  <si>
    <t>Mốc mở khóa ước tính</t>
  </si>
  <si>
    <t>Meta ID</t>
  </si>
  <si>
    <t>Chức năng</t>
  </si>
  <si>
    <t>Recipe map / logic TST</t>
  </si>
  <si>
    <t>Cấu trúc</t>
  </si>
  <si>
    <t>Class path</t>
  </si>
  <si>
    <t>Recipe controller path</t>
  </si>
  <si>
    <t>URL class</t>
  </si>
  <si>
    <t>URL recipe</t>
  </si>
  <si>
    <t>Confidence</t>
  </si>
  <si>
    <t>Ghi chú quyết định</t>
  </si>
  <si>
    <t>GiantVacuumDryingFurnace</t>
  </si>
  <si>
    <t>TST_GiantVacuumDryingFurnace</t>
  </si>
  <si>
    <t>Sấy chân không / khử nước</t>
  </si>
  <si>
    <t>Vacuum furnace + chemical dehydrator maps</t>
  </si>
  <si>
    <t>StructureLib addShape/transpose trong class</t>
  </si>
  <si>
    <t>src/main/java/com/Nxer/TwistSpaceTechnology/common/machine/TST_GiantVacuumDryingFurnace.java</t>
  </si>
  <si>
    <t>src/main/java/com/Nxer/TwistSpaceTechnology/recipe/craftRecipe/machine/GTCMMachineRecipes.java:920</t>
  </si>
  <si>
    <t>https://github.com/Nxer/Twist-Space-Technology-Mod/blob/73571514cf8a1527db4975680456748ba32f373d/src/main/java/com/Nxer/TwistSpaceTechnology/common/machine/TST_GiantVacuumDryingFurnace.java</t>
  </si>
  <si>
    <t>https://github.com/Nxer/Twist-Space-Technology-Mod/blob/73571514cf8a1527db4975680456748ba32f373d/src/main/java/com/Nxer/TwistSpaceTechnology/recipe/craftRecipe/machine/GTCMMachineRecipes.java#L920</t>
  </si>
  <si>
    <t>High</t>
  </si>
  <si>
    <t>GIỮ: chưa có multiblock tương tự trong GTMultiMachines/GCYMMachines/GTResearchMachines ở commit đã kiểm tra.</t>
  </si>
  <si>
    <t>NetherInterface</t>
  </si>
  <si>
    <t>TST_NetherInterface</t>
  </si>
  <si>
    <t>Giao diện khai thác/tương tác Nether</t>
  </si>
  <si>
    <t>Nether Interface custom logic</t>
  </si>
  <si>
    <t>src/main/java/com/Nxer/TwistSpaceTechnology/common/machine/TST_NetherInterface.java</t>
  </si>
  <si>
    <t>src/main/java/com/Nxer/TwistSpaceTechnology/recipe/craftRecipe/machine/GTCMMachineRecipes.java:3586</t>
  </si>
  <si>
    <t>https://github.com/Nxer/Twist-Space-Technology-Mod/blob/73571514cf8a1527db4975680456748ba32f373d/src/main/java/com/Nxer/TwistSpaceTechnology/common/machine/TST_NetherInterface.java</t>
  </si>
  <si>
    <t>https://github.com/Nxer/Twist-Space-Technology-Mod/blob/73571514cf8a1527db4975680456748ba32f373d/src/main/java/com/Nxer/TwistSpaceTechnology/recipe/craftRecipe/machine/GTCMMachineRecipes.java#L3586</t>
  </si>
  <si>
    <t>HyperThermalConvector</t>
  </si>
  <si>
    <t>TST_HyperThermalConvector</t>
  </si>
  <si>
    <t>Trao đổi/chuyển đổi nhiệt đa chế độ</t>
  </si>
  <si>
    <t>GTCMRecipe.HyperThermalConvectorRecipes</t>
  </si>
  <si>
    <t>src/main/java/com/Nxer/TwistSpaceTechnology/common/machine/TST_HyperThermalConvector.java</t>
  </si>
  <si>
    <t>src/main/java/com/Nxer/TwistSpaceTechnology/recipe/craftRecipe/machine/SingleMachineRecipes.java:59</t>
  </si>
  <si>
    <t>https://github.com/Nxer/Twist-Space-Technology-Mod/blob/73571514cf8a1527db4975680456748ba32f373d/src/main/java/com/Nxer/TwistSpaceTechnology/common/machine/TST_HyperThermalConvector.java</t>
  </si>
  <si>
    <t>https://github.com/Nxer/Twist-Space-Technology-Mod/blob/73571514cf8a1527db4975680456748ba32f373d/src/main/java/com/Nxer/TwistSpaceTechnology/recipe/craftRecipe/machine/SingleMachineRecipes.java#L59</t>
  </si>
  <si>
    <t>MegaTreeFarm</t>
  </si>
  <si>
    <t>TST_MegaTreeFarm</t>
  </si>
  <si>
    <t>Eco-sphere/tree farm đa chức năng</t>
  </si>
  <si>
    <t>EcoSphere simulator custom maps</t>
  </si>
  <si>
    <t>src/main/java/com/Nxer/TwistSpaceTechnology/common/machine/TST_MegaTreeFarm.java</t>
  </si>
  <si>
    <t>src/main/java/com/Nxer/TwistSpaceTechnology/system/Thaumcraft/TCRecipePool.java:113</t>
  </si>
  <si>
    <t>https://github.com/Nxer/Twist-Space-Technology-Mod/blob/73571514cf8a1527db4975680456748ba32f373d/src/main/java/com/Nxer/TwistSpaceTechnology/common/machine/TST_MegaTreeFarm.java</t>
  </si>
  <si>
    <t>https://github.com/Nxer/Twist-Space-Technology-Mod/blob/73571514cf8a1527db4975680456748ba32f373d/src/main/java/com/Nxer/TwistSpaceTechnology/system/Thaumcraft/TCRecipePool.java#L113</t>
  </si>
  <si>
    <t>Disassembler</t>
  </si>
  <si>
    <t>TST_Disassembler</t>
  </si>
  <si>
    <t>Tháo rã vật phẩm</t>
  </si>
  <si>
    <t>Disassembler custom logic</t>
  </si>
  <si>
    <t>src/main/java/com/Nxer/TwistSpaceTechnology/system/Disassembler/TST_Disassembler.java</t>
  </si>
  <si>
    <t>src/main/java/com/Nxer/TwistSpaceTechnology/recipe/craftRecipe/machine/GTCMMachineRecipes.java:2272</t>
  </si>
  <si>
    <t>https://github.com/Nxer/Twist-Space-Technology-Mod/blob/73571514cf8a1527db4975680456748ba32f373d/src/main/java/com/Nxer/TwistSpaceTechnology/system/Disassembler/TST_Disassembler.java</t>
  </si>
  <si>
    <t>https://github.com/Nxer/Twist-Space-Technology-Mod/blob/73571514cf8a1527db4975680456748ba32f373d/src/main/java/com/Nxer/TwistSpaceTechnology/recipe/craftRecipe/machine/GTCMMachineRecipes.java#L2272</t>
  </si>
  <si>
    <t>IncompactCyclotron</t>
  </si>
  <si>
    <t>TST_IncompactCyclotron</t>
  </si>
  <si>
    <t>Cyclotron thu gọn</t>
  </si>
  <si>
    <t>GTPPRecipeMaps.cyclotronRecipes</t>
  </si>
  <si>
    <t>src/main/java/com/Nxer/TwistSpaceTechnology/common/machine/TST_IncompactCyclotron.java</t>
  </si>
  <si>
    <t>src/main/java/com/Nxer/TwistSpaceTechnology/recipe/craftRecipe/machine/GTCMMachineRecipes.java:2823</t>
  </si>
  <si>
    <t>https://github.com/Nxer/Twist-Space-Technology-Mod/blob/73571514cf8a1527db4975680456748ba32f373d/src/main/java/com/Nxer/TwistSpaceTechnology/common/machine/TST_IncompactCyclotron.java</t>
  </si>
  <si>
    <t>https://github.com/Nxer/Twist-Space-Technology-Mod/blob/73571514cf8a1527db4975680456748ba32f373d/src/main/java/com/Nxer/TwistSpaceTechnology/recipe/craftRecipe/machine/GTCMMachineRecipes.java#L2823</t>
  </si>
  <si>
    <t>MegaStoneBreaker</t>
  </si>
  <si>
    <t>TST_MegaStoneBreaker</t>
  </si>
  <si>
    <t>Stone/rock breaker quy mô lớn</t>
  </si>
  <si>
    <t>GTCMRecipe.MegaStoneBreakerRecipes: 14 recipe circuit cho compressed cobblestone/stone/obsidian/netherrack/basalt/deepslate; output ×4 thường hoặc ×1024 khi đủ water + lava</t>
  </si>
  <si>
    <t>src/main/java/com/Nxer/TwistSpaceTechnology/common/machine/TST_MegaStoneBreaker.java</t>
  </si>
  <si>
    <t>src/main/java/com/Nxer/TwistSpaceTechnology/recipe/craftRecipe/machine/GTCMMachineRecipes.java:3021</t>
  </si>
  <si>
    <t>https://github.com/Nxer/Twist-Space-Technology-Mod/blob/73571514cf8a1527db4975680456748ba32f373d/src/main/java/com/Nxer/TwistSpaceTechnology/common/machine/TST_MegaStoneBreaker.java</t>
  </si>
  <si>
    <t>https://github.com/Nxer/Twist-Space-Technology-Mod/blob/73571514cf8a1527db4975680456748ba32f373d/src/main/java/com/Nxer/TwistSpaceTechnology/recipe/craftRecipe/machine/GTCMMachineRecipes.java#L3021</t>
  </si>
  <si>
    <t>GIỮ: recipe type và fluid-gated output multiplier là cơ chế riêng; GTCEu không có large rock generator tương đương.</t>
  </si>
  <si>
    <t>LargeNeutronOscillator</t>
  </si>
  <si>
    <t>MM_LargeNeutronOscillator</t>
  </si>
  <si>
    <t>Neutron activator dùng EU</t>
  </si>
  <si>
    <t>GTCMRecipe.NeutronActivatorRecipesWithEU</t>
  </si>
  <si>
    <t>src/main/java/com/Nxer/TwistSpaceTechnology/common/modularizedMachine/MM_LargeNeutronOscillator.java</t>
  </si>
  <si>
    <t>src/main/java/com/Nxer/TwistSpaceTechnology/recipe/craftRecipe/machine/GTCMMachineRecipes.java:3150</t>
  </si>
  <si>
    <t>https://github.com/Nxer/Twist-Space-Technology-Mod/blob/73571514cf8a1527db4975680456748ba32f373d/src/main/java/com/Nxer/TwistSpaceTechnology/common/modularizedMachine/MM_LargeNeutronOscillator.java</t>
  </si>
  <si>
    <t>https://github.com/Nxer/Twist-Space-Technology-Mod/blob/73571514cf8a1527db4975680456748ba32f373d/src/main/java/com/Nxer/TwistSpaceTechnology/recipe/craftRecipe/machine/GTCMMachineRecipes.java#L3150</t>
  </si>
  <si>
    <t>MegaNqReactor</t>
  </si>
  <si>
    <t>TST_MegaNqReactor</t>
  </si>
  <si>
    <t>Lò phản ứng Naquadah quy mô lớn</t>
  </si>
  <si>
    <t>GoodGeneratorRecipeMaps.naquadahReactorFuels</t>
  </si>
  <si>
    <t>src/main/java/com/Nxer/TwistSpaceTechnology/common/machine/GeneratorMultis/TST_MegaNqReactor.java</t>
  </si>
  <si>
    <t>src/main/java/com/Nxer/TwistSpaceTechnology/recipe/craftRecipe/machine/GTCMMachineRecipes.java:3739</t>
  </si>
  <si>
    <t>https://github.com/Nxer/Twist-Space-Technology-Mod/blob/73571514cf8a1527db4975680456748ba32f373d/src/main/java/com/Nxer/TwistSpaceTechnology/common/machine/GeneratorMultis/TST_MegaNqReactor.java</t>
  </si>
  <si>
    <t>https://github.com/Nxer/Twist-Space-Technology-Mod/blob/73571514cf8a1527db4975680456748ba32f373d/src/main/java/com/Nxer/TwistSpaceTechnology/recipe/craftRecipe/machine/GTCMMachineRecipes.java#L3739</t>
  </si>
  <si>
    <t>NaquadahFuelRefinery</t>
  </si>
  <si>
    <t>MTENaquadahFuelRefinery</t>
  </si>
  <si>
    <t>Tinh chế nhiên liệu Naquadah MkIII–MkVI</t>
  </si>
  <si>
    <t>GoodGeneratorRecipeMaps.naquadahFuelRefineFactoryRecipes</t>
  </si>
  <si>
    <t>StructureLib addShape; 27×27×5; 4 tier Field Restriction Coil</t>
  </si>
  <si>
    <t>D:/tmp/GT5/src/main/java/gregtech/common/tileentities/machines/multi/MTENaquadahFuelRefinery.java</t>
  </si>
  <si>
    <t>D:/tmp/GT5/src/main/java/goodgenerator/loader/RecipeLoader.java:658</t>
  </si>
  <si>
    <t>BỔ SUNG: multiblock hỗ trợ GT5/GoodGenerator bắt buộc cho chuỗi MegaNq; GTCEu 7.4.0 không có máy tương đương.</t>
  </si>
  <si>
    <t>DSPLauncher</t>
  </si>
  <si>
    <t>TST_DSPLauncher</t>
  </si>
  <si>
    <t>Phóng solar sail/node cho Dyson Sphere</t>
  </si>
  <si>
    <t>GTCMRecipe.DSP_LauncherRecipes</t>
  </si>
  <si>
    <t>src/main/java/com/Nxer/TwistSpaceTechnology/system/DysonSphereProgram/machines/TST_DSPLauncher.java</t>
  </si>
  <si>
    <t>src/main/java/com/Nxer/TwistSpaceTechnology/recipe/machineRecipe/expanded/DSPRecipePool.java:175</t>
  </si>
  <si>
    <t>https://github.com/Nxer/Twist-Space-Technology-Mod/blob/73571514cf8a1527db4975680456748ba32f373d/src/main/java/com/Nxer/TwistSpaceTechnology/system/DysonSphereProgram/machines/TST_DSPLauncher.java</t>
  </si>
  <si>
    <t>https://github.com/Nxer/Twist-Space-Technology-Mod/blob/73571514cf8a1527db4975680456748ba32f373d/src/main/java/com/Nxer/TwistSpaceTechnology/recipe/machineRecipe/expanded/DSPRecipePool.java#L175</t>
  </si>
  <si>
    <t>DSPReceiver</t>
  </si>
  <si>
    <t>TST_DSPReceiver</t>
  </si>
  <si>
    <t>Nhận công suất từ Dyson Sphere</t>
  </si>
  <si>
    <t>GTCMRecipe.DSP_ReceiverRecipes</t>
  </si>
  <si>
    <t>src/main/java/com/Nxer/TwistSpaceTechnology/system/DysonSphereProgram/machines/TST_DSPReceiver.java</t>
  </si>
  <si>
    <t>src/main/java/com/Nxer/TwistSpaceTechnology/recipe/machineRecipe/expanded/DSPRecipePool.java:140</t>
  </si>
  <si>
    <t>https://github.com/Nxer/Twist-Space-Technology-Mod/blob/73571514cf8a1527db4975680456748ba32f373d/src/main/java/com/Nxer/TwistSpaceTechnology/system/DysonSphereProgram/machines/TST_DSPReceiver.java</t>
  </si>
  <si>
    <t>https://github.com/Nxer/Twist-Space-Technology-Mod/blob/73571514cf8a1527db4975680456748ba32f373d/src/main/java/com/Nxer/TwistSpaceTechnology/recipe/machineRecipe/expanded/DSPRecipePool.java#L140</t>
  </si>
  <si>
    <t>MicroSpaceTimeFabricatorio</t>
  </si>
  <si>
    <t>TST_MicroSpaceTimeFabricatorio</t>
  </si>
  <si>
    <t>Gia công spacetime</t>
  </si>
  <si>
    <t>GTCMRecipe.MicroSpaceTimeFabricatorioRecipes</t>
  </si>
  <si>
    <t>src/main/java/com/Nxer/TwistSpaceTechnology/common/machine/TST_MicroSpaceTimeFabricatorio.java</t>
  </si>
  <si>
    <t>src/main/java/com/Nxer/TwistSpaceTechnology/recipe/craftRecipe/item/CosmicProcessorCircuitRecipes.java:455</t>
  </si>
  <si>
    <t>https://github.com/Nxer/Twist-Space-Technology-Mod/blob/73571514cf8a1527db4975680456748ba32f373d/src/main/java/com/Nxer/TwistSpaceTechnology/common/machine/TST_MicroSpaceTimeFabricatorio.java</t>
  </si>
  <si>
    <t>https://github.com/Nxer/Twist-Space-Technology-Mod/blob/73571514cf8a1527db4975680456748ba32f373d/src/main/java/com/Nxer/TwistSpaceTechnology/recipe/craftRecipe/item/CosmicProcessorCircuitRecipes.java#L455</t>
  </si>
  <si>
    <t>MiracleTop</t>
  </si>
  <si>
    <t>GT_TileEntity_MiracleTop</t>
  </si>
  <si>
    <t>Siêu máy đa recipe endgame</t>
  </si>
  <si>
    <t>GTCMRecipe.MiracleTopRecipes</t>
  </si>
  <si>
    <t>src/main/java/com/Nxer/TwistSpaceTechnology/common/machine/GT_TileEntity_MiracleTop.java</t>
  </si>
  <si>
    <t>src/main/java/com/Nxer/TwistSpaceTechnology/recipe/craftRecipe/machine/GTCMMachineRecipes.java:698</t>
  </si>
  <si>
    <t>https://github.com/Nxer/Twist-Space-Technology-Mod/blob/73571514cf8a1527db4975680456748ba32f373d/src/main/java/com/Nxer/TwistSpaceTechnology/common/machine/GT_TileEntity_MiracleTop.java</t>
  </si>
  <si>
    <t>https://github.com/Nxer/Twist-Space-Technology-Mod/blob/73571514cf8a1527db4975680456748ba32f373d/src/main/java/com/Nxer/TwistSpaceTechnology/recipe/craftRecipe/machine/GTCMMachineRecipes.java#L698</t>
  </si>
  <si>
    <t>ArtificialStar</t>
  </si>
  <si>
    <t>TST_ArtificialStar</t>
  </si>
  <si>
    <t>Máy phát điện stellar endgame</t>
  </si>
  <si>
    <t>GTCMRecipe.ArtificialStarGeneratingRecipes</t>
  </si>
  <si>
    <t>src/main/java/com/Nxer/TwistSpaceTechnology/system/DysonSphereProgram/machines/TST_ArtificialStar.java</t>
  </si>
  <si>
    <t>src/main/java/com/Nxer/TwistSpaceTechnology/recipe/machineRecipe/expanded/DSPRecipePool.java:249</t>
  </si>
  <si>
    <t>https://github.com/Nxer/Twist-Space-Technology-Mod/blob/73571514cf8a1527db4975680456748ba32f373d/src/main/java/com/Nxer/TwistSpaceTechnology/system/DysonSphereProgram/machines/TST_ArtificialStar.java</t>
  </si>
  <si>
    <t>https://github.com/Nxer/Twist-Space-Technology-Mod/blob/73571514cf8a1527db4975680456748ba32f373d/src/main/java/com/Nxer/TwistSpaceTechnology/recipe/machineRecipe/expanded/DSPRecipePool.java#L249</t>
  </si>
  <si>
    <t>DeployedNanoCore</t>
  </si>
  <si>
    <t>TST_DeployedNanoCore</t>
  </si>
  <si>
    <t>Nano core triển khai / recipe endgame</t>
  </si>
  <si>
    <t>GTCMRecipe.DeployedNanoCoreRecipes</t>
  </si>
  <si>
    <t>src/main/java/com/Nxer/TwistSpaceTechnology/common/machine/TST_DeployedNanoCore.java</t>
  </si>
  <si>
    <t>src/main/java/com/Nxer/TwistSpaceTechnology/recipe/craftRecipe/machine/GTCMMachineRecipes.java:2039</t>
  </si>
  <si>
    <t>https://github.com/Nxer/Twist-Space-Technology-Mod/blob/73571514cf8a1527db4975680456748ba32f373d/src/main/java/com/Nxer/TwistSpaceTechnology/common/machine/TST_DeployedNanoCore.java</t>
  </si>
  <si>
    <t>https://github.com/Nxer/Twist-Space-Technology-Mod/blob/73571514cf8a1527db4975680456748ba32f373d/src/main/java/com/Nxer/TwistSpaceTechnology/recipe/craftRecipe/machine/GTCMMachineRecipes.java#L2039</t>
  </si>
  <si>
    <t>DimensionallyTranscendentMatterPlasmaForgePrototypeMK2</t>
  </si>
  <si>
    <t>MM_DimensionallyTranscendentMatterPlasmaForgePrototypeMK2</t>
  </si>
  <si>
    <t>Plasma forge endgame</t>
  </si>
  <si>
    <t>TST dùng RecipeMaps.plasmaForgeRecipes (TecTech) + modular execution-core/hatch logic</t>
  </si>
  <si>
    <t>src/main/java/com/Nxer/TwistSpaceTechnology/common/modularizedMachine/MM_DimensionallyTranscendentMatterPlasmaForgePrototypeMK2.java</t>
  </si>
  <si>
    <t>src/main/java/com/Nxer/TwistSpaceTechnology/recipe/craftRecipe/machine/GTCMMachineRecipes.java:3130</t>
  </si>
  <si>
    <t>https://github.com/Nxer/Twist-Space-Technology-Mod/blob/73571514cf8a1527db4975680456748ba32f373d/src/main/java/com/Nxer/TwistSpaceTechnology/common/modularizedMachine/MM_DimensionallyTranscendentMatterPlasmaForgePrototypeMK2.java</t>
  </si>
  <si>
    <t>https://github.com/Nxer/Twist-Space-Technology-Mod/blob/73571514cf8a1527db4975680456748ba32f373d/src/main/java/com/Nxer/TwistSpaceTechnology/recipe/craftRecipe/machine/GTCMMachineRecipes.java#L3130</t>
  </si>
  <si>
    <t>MassFabricatorGenesis</t>
  </si>
  <si>
    <t>MM_MassFabricatorGenesis</t>
  </si>
  <si>
    <t>Mass fabrication endgame</t>
  </si>
  <si>
    <t>GTCMRecipe.MassFabricatorGenesis: circuit 1 → UU-Matter; circuit 2 → Concentrated UU-Matter; modular execution-core logic</t>
  </si>
  <si>
    <t>src/main/java/com/Nxer/TwistSpaceTechnology/common/modularizedMachine/MM_MassFabricatorGenesis.java</t>
  </si>
  <si>
    <t>src/main/java/com/Nxer/TwistSpaceTechnology/recipe/craftRecipe/machine/GTCMMachineRecipes.java:3216</t>
  </si>
  <si>
    <t>https://github.com/Nxer/Twist-Space-Technology-Mod/blob/73571514cf8a1527db4975680456748ba32f373d/src/main/java/com/Nxer/TwistSpaceTechnology/common/modularizedMachine/MM_MassFabricatorGenesis.java</t>
  </si>
  <si>
    <t>https://github.com/Nxer/Twist-Space-Technology-Mod/blob/73571514cf8a1527db4975680456748ba32f373d/src/main/java/com/Nxer/TwistSpaceTechnology/recipe/craftRecipe/machine/GTCMMachineRecipes.java#L3216</t>
  </si>
  <si>
    <t>SuperWaterPurifier</t>
  </si>
  <si>
    <t>TST_SuperWaterPurifier</t>
  </si>
  <si>
    <t>Chuỗi tinh lọc nước endgame</t>
  </si>
  <si>
    <t>GTCMRecipe.SuperWaterPurifierVisualRecipeMap + staged logic</t>
  </si>
  <si>
    <t>src/main/java/com/Nxer/TwistSpaceTechnology/common/machine/TST_SuperWaterPurifier.java</t>
  </si>
  <si>
    <t>src/main/java/com/Nxer/TwistSpaceTechnology/recipe/craftRecipe/machine/GTCMMachineRecipes.java:3634</t>
  </si>
  <si>
    <t>https://github.com/Nxer/Twist-Space-Technology-Mod/blob/73571514cf8a1527db4975680456748ba32f373d/src/main/java/com/Nxer/TwistSpaceTechnology/common/machine/TST_SuperWaterPurifier.java</t>
  </si>
  <si>
    <t>https://github.com/Nxer/Twist-Space-Technology-Mod/blob/73571514cf8a1527db4975680456748ba32f373d/src/main/java/com/Nxer/TwistSpaceTechnology/recipe/craftRecipe/machine/GTCMMachineRecipes.java#L3634</t>
  </si>
  <si>
    <t>StrangeMatterAggregator</t>
  </si>
  <si>
    <t>TST_StrangeMatterAggregator</t>
  </si>
  <si>
    <t>Tổng hợp strange matter</t>
  </si>
  <si>
    <t>GTCMRecipe.StrangeMatterAggregatorRecipes</t>
  </si>
  <si>
    <t>src/main/java/com/Nxer/TwistSpaceTechnology/system/DysonSphereProgram/machines/TST_StrangeMatterAggregator.java</t>
  </si>
  <si>
    <t>src/main/java/com/Nxer/TwistSpaceTechnology/recipe/machineRecipe/expanded/DSPRecipePool.java:918</t>
  </si>
  <si>
    <t>https://github.com/Nxer/Twist-Space-Technology-Mod/blob/73571514cf8a1527db4975680456748ba32f373d/src/main/java/com/Nxer/TwistSpaceTechnology/system/DysonSphereProgram/machines/TST_StrangeMatterAggregator.java</t>
  </si>
  <si>
    <t>https://github.com/Nxer/Twist-Space-Technology-Mod/blob/73571514cf8a1527db4975680456748ba32f373d/src/main/java/com/Nxer/TwistSpaceTechnology/recipe/machineRecipe/expanded/DSPRecipePool.java#L918</t>
  </si>
  <si>
    <t>HyperSpacetimeTransformer</t>
  </si>
  <si>
    <t>GTCM_HyperSpacetimeTransformer</t>
  </si>
  <si>
    <t>Endgame*</t>
  </si>
  <si>
    <t>Biến đổi vật chất/spacetime</t>
  </si>
  <si>
    <t>GTCMRecipe.HyperSpacetimeTransformerRecipe + molecularTransformerRecipes</t>
  </si>
  <si>
    <t>src/main/java/com/Nxer/TwistSpaceTechnology/common/machine/GTCM_HyperSpacetimeTransformer.java</t>
  </si>
  <si>
    <t>Không tìm thấy recipe chế tạo controller; tier theo code/feature, cần xác minh pack</t>
  </si>
  <si>
    <t>https://github.com/Nxer/Twist-Space-Technology-Mod/blob/73571514cf8a1527db4975680456748ba32f373d/src/main/java/com/Nxer/TwistSpaceTechnology/common/machine/GTCM_HyperSpacetimeTransformer.java</t>
  </si>
  <si>
    <t>Medium</t>
  </si>
  <si>
    <t>AstralComputingArray</t>
  </si>
  <si>
    <t>TST_Computer</t>
  </si>
  <si>
    <t>Hạ tầng tính toán công suất lớn</t>
  </si>
  <si>
    <t>Custom computation/rack logic; cần audit khác biệt với HPCA</t>
  </si>
  <si>
    <t>StructureLib trong TST_Computer</t>
  </si>
  <si>
    <t>src/main/java/com/Nxer/TwistSpaceTechnology/common/machine/TST_Computer.java</t>
  </si>
  <si>
    <t>src/main/java/com/Nxer/TwistSpaceTechnology/recipe/craftRecipe/machine/GTCMMachineRecipes.java:2071</t>
  </si>
  <si>
    <t>https://github.com/Nxer/Twist-Space-Technology-Mod/blob/73571514cf8a1527db4975680456748ba32f373d/src/main/java/com/Nxer/TwistSpaceTechnology/common/machine/TST_Computer.java</t>
  </si>
  <si>
    <t>https://github.com/Nxer/Twist-Space-Technology-Mod/blob/73571514cf8a1527db4975680456748ba32f373d/src/main/java/com/Nxer/TwistSpaceTechnology/recipe/craftRecipe/machine/GTCMMachineRecipes.java#L2071</t>
  </si>
  <si>
    <t>Review</t>
  </si>
  <si>
    <t>THÊM THEO ĐÁNH DẤU XANH: đưa lại backlog; phải audit cơ chế computation riêng trước khi chốt mapping HPCA.</t>
  </si>
  <si>
    <t>LargeIndustrialCokingFactory</t>
  </si>
  <si>
    <t>TST_LargeIndustrialCokingFactory</t>
  </si>
  <si>
    <t>Coking / pyrolysis công suất lớn</t>
  </si>
  <si>
    <t>GTCMRecipe.CokingFactoryRecipes: Raw Radox + 6 nhánh coking log; coil speed = 1/(coil tier+1); Integer.MAX_VALUE parallel</t>
  </si>
  <si>
    <t>StructureLib trong class controller</t>
  </si>
  <si>
    <t>src/main/java/com/Nxer/TwistSpaceTechnology/common/machine/TST_LargeIndustrialCokingFactory.java</t>
  </si>
  <si>
    <t>src/main/java/com/Nxer/TwistSpaceTechnology/recipe/craftRecipe/machine/GTCMMachineRecipes.java:1403</t>
  </si>
  <si>
    <t>https://github.com/Nxer/Twist-Space-Technology-Mod/blob/73571514cf8a1527db4975680456748ba32f373d/src/main/java/com/Nxer/TwistSpaceTechnology/common/machine/TST_LargeIndustrialCokingFactory.java</t>
  </si>
  <si>
    <t>https://github.com/Nxer/Twist-Space-Technology-Mod/blob/73571514cf8a1527db4975680456748ba32f373d/src/main/java/com/Nxer/TwistSpaceTechnology/recipe/craftRecipe/machine/GTCMMachineRecipes.java#L1403</t>
  </si>
  <si>
    <t>THÊM THEO ĐÁNH DẤU XANH: có recipe riêng đáng port; ưu tiên map recipe vào Coke/Pyrolyse hiện có và dùng Parallel Hatch, chỉ giữ controller riêng nếu coil progression còn cần thiết.</t>
  </si>
  <si>
    <t>OreProcessingFactory</t>
  </si>
  <si>
    <t>TST_OreProcessingFactory</t>
  </si>
  <si>
    <t>Dây chuyền xử lý quặng tự động</t>
  </si>
  <si>
    <t>Custom ore pipeline; thời gian cố định, tiêu thụ lubricant và tự chuyển input không phải quặng</t>
  </si>
  <si>
    <t>StructureLib trong controller; pipeline I/O chuyên dụng</t>
  </si>
  <si>
    <t>src/main/java/com/Nxer/TwistSpaceTechnology/system/OreProcess/machines/TST_OreProcessingFactory.java</t>
  </si>
  <si>
    <t>src/main/java/com/Nxer/TwistSpaceTechnology/recipe/craftRecipe/machine/GTCMMachineRecipes.java:1273</t>
  </si>
  <si>
    <t>https://github.com/Nxer/Twist-Space-Technology-Mod/blob/73571514cf8a1527db4975680456748ba32f373d/src/main/java/com/Nxer/TwistSpaceTechnology/system/OreProcess/machines/TST_OreProcessingFactory.java</t>
  </si>
  <si>
    <t>https://github.com/Nxer/Twist-Space-Technology-Mod/blob/73571514cf8a1527db4975680456748ba32f373d/src/main/java/com/Nxer/TwistSpaceTechnology/recipe/craftRecipe/machine/GTCMMachineRecipes.java#L1273</t>
  </si>
  <si>
    <t>THÊM THEO ĐÁNH DẤU XANH: có cơ chế pipeline riêng; audit đầy đủ trước khi mapping vào các large ore machine GCYM.</t>
  </si>
  <si>
    <t>StarcoreMiner</t>
  </si>
  <si>
    <t>TST_StarcoreMiner</t>
  </si>
  <si>
    <t>Khai thác quy mô lớn / starcore mining</t>
  </si>
  <si>
    <t>Custom mining logic; cần audit bán kính, tài nguyên và dimension rules</t>
  </si>
  <si>
    <t>src/main/java/com/Nxer/TwistSpaceTechnology/common/machine/TST_StarcoreMiner.java</t>
  </si>
  <si>
    <t>src/main/java/com/Nxer/TwistSpaceTechnology/recipe/craftRecipe/machine/GTCMMachineRecipes.java:2238</t>
  </si>
  <si>
    <t>https://github.com/Nxer/Twist-Space-Technology-Mod/blob/73571514cf8a1527db4975680456748ba32f373d/src/main/java/com/Nxer/TwistSpaceTechnology/common/machine/TST_StarcoreMiner.java</t>
  </si>
  <si>
    <t>https://github.com/Nxer/Twist-Space-Technology-Mod/blob/73571514cf8a1527db4975680456748ba32f373d/src/main/java/com/Nxer/TwistSpaceTechnology/recipe/craftRecipe/machine/GTCMMachineRecipes.java#L2238</t>
  </si>
  <si>
    <t>THÊM THEO ĐÁNH DẤU XANH: đưa lại backlog để đối chiếu cơ chế khai thác riêng với LARGE_MINER.</t>
  </si>
  <si>
    <t>MeteorMiner</t>
  </si>
  <si>
    <t>TST_LaserMeteorMiner</t>
  </si>
  <si>
    <t>Cần xác minh</t>
  </si>
  <si>
    <t>Khai thác thiên thạch bằng schematic</t>
  </si>
  <si>
    <t>Custom mining loop + hai cấp Meteor Miner Schematic; recipe controller chưa xác minh</t>
  </si>
  <si>
    <t>src/main/java/com/Nxer/TwistSpaceTechnology/common/machine/TST_LaserMeteorMiner.java</t>
  </si>
  <si>
    <t>Chưa xác định — cần audit source recipe tạo controller</t>
  </si>
  <si>
    <t>https://github.com/Nxer/Twist-Space-Technology-Mod/blob/73571514cf8a1527db4975680456748ba32f373d/src/main/java/com/Nxer/TwistSpaceTechnology/common/machine/TST_LaserMeteorMiner.java</t>
  </si>
  <si>
    <t>THÊM THEO ĐÁNH DẤU XANH: giữ để mapping sau; phải xác minh recipe controller và tier trước khi triển khai.</t>
  </si>
  <si>
    <t>Mapping &amp; checklist port GTCEu 1.20.1</t>
  </si>
  <si>
    <t>Backlog kỹ thuật cho 26 máy, gồm 25 máy TST và Naquadah Fuel Refinery hỗ trợ chuỗi MegaNq.</t>
  </si>
  <si>
    <t>Máy TST</t>
  </si>
  <si>
    <t>Tier</t>
  </si>
  <si>
    <t>Mục tiêu gameplay</t>
  </si>
  <si>
    <t>Mapping/kiến trúc GTCEu đề xuất</t>
  </si>
  <si>
    <t>Độ phức tạp</t>
  </si>
  <si>
    <t>Trạng thái</t>
  </si>
  <si>
    <t>Owner</t>
  </si>
  <si>
    <t>Rủi ro chính</t>
  </si>
  <si>
    <t>Điểm bắt đầu code</t>
  </si>
  <si>
    <t>Custom machine ghép vacuum drying và dehydrator; không có large-machine 1:1.</t>
  </si>
  <si>
    <t>Backlog</t>
  </si>
  <si>
    <t>Cân bằng parallel/OC, recipe và pattern</t>
  </si>
  <si>
    <t>REGISTRATE.multiblock + WorkableElectricMultiblockMachine + MultiblockPatternBuilder + Predicates.abilities + RecipeModifier</t>
  </si>
  <si>
    <t>Custom dimension interface và recipe/output logic.</t>
  </si>
  <si>
    <t>Custom thermal conversion modes; recipe controller dùng TTRecipeAdder.</t>
  </si>
  <si>
    <t>Custom farming/ecosystem simulation; cô lập Thaumcraft/Forestry/Botania integrations.</t>
  </si>
  <si>
    <t>Very High</t>
  </si>
  <si>
    <t>Saved-data/capability hoặc dependency addon không có 1:1</t>
  </si>
  <si>
    <t>Custom recipe/data generation; cần quy tắc chống duplication và hoàn trả vật liệu.</t>
  </si>
  <si>
    <t>Custom/addon recipe type; không có cyclotron multiblock trong GTCEu core.</t>
  </si>
  <si>
    <t>Port recipe type riêng; không map sang ROCK_BREAKER_RECIPES. Giữ Parallel Hatch và modifier output ×4/×1024, kèm tiêu thụ water/lava theo tick đúng source.</t>
  </si>
  <si>
    <t>REGISTRATE.multiblock + custom GTRecipeType + RecipeModifier cho parallel/output/fluid drain.</t>
  </si>
  <si>
    <t>Custom recipe property/state; port thành recipe type riêng.</t>
  </si>
  <si>
    <t>Custom generator/fuel burn; không có large Naquadah reactor trong registry core đã rà.</t>
  </si>
  <si>
    <t>Tinh chế Naquadah Fuel MkIII–MkVI</t>
  </si>
  <si>
    <t>Custom GTRecipeType + multiblock 27×27×5; coil tier khóa recipe/perfect OC; 4 parallel mỗi coil tier.</t>
  </si>
  <si>
    <t>Đang port</t>
  </si>
  <si>
    <t>Cấu trúc lớn, 4 coil tier, casing/texture GoodGenerator và dependency vật liệu GTNH.</t>
  </si>
  <si>
    <t>REGISTRATE.multiblock + WorkableElectricMultiblockMachine + tiered coil predicate + RecipeModifier.</t>
  </si>
  <si>
    <t>GIỮ SAU AUDIT SOURCE: custom DSP subsystem; recipe Solar Sail và Small Launch Vehicle → Empty Vehicle (99%), cập nhật sail/node trong saved-data theo owner/dimension.</t>
  </si>
  <si>
    <t>Cần shared DSP saved-data, wireless EU, launch items và liên kết bắt buộc với DSPReceiver; GTCEu core không có tương đương.</t>
  </si>
  <si>
    <t>Port recipe type + launcher machine + DSP network service; giữ recipe và consumption đúng source.</t>
  </si>
  <si>
    <t>GIỮ SAU AUDIT SOURCE: dùng DSP power point; hai mode phát EU hoặc tạo Critical Photon, có Gravitational Lens và Astral Array overload; không có GTCEu core tương đương.</t>
  </si>
  <si>
    <t>Phụ thuộc shared DSP saved-data và DSPLauncher; phải port power-point accounting, mode, coefficient và sync/persist.</t>
  </si>
  <si>
    <t>Port paired receiver + DSP network service + Critical Photon recipe/output contract.</t>
  </si>
  <si>
    <t>Custom GTRecipeType + multiblock pattern và modifier riêng.</t>
  </si>
  <si>
    <t>Custom multi-mode controller; dùng GTRecipeType riêng và RecipeModifier riêng.</t>
  </si>
  <si>
    <t>Custom generator, fuel logic và trạng thái stellar; dùng OUTPUT_ENERGY.</t>
  </si>
  <si>
    <t>Custom recipe type, module và state; không có controller GTCEu tương đương.</t>
  </si>
  <si>
    <t>TST tái dùng TecTech plasmaForgeRecipes; GTCEu 1.20.1 không có controller/recipe type Plasma Forge tương đương, nên cần port recipe type cùng hệ module/hatch.</t>
  </si>
  <si>
    <t>Recipe map riêng, không phải MASS_FABRICATOR mặc định: hai recipe tạo UU-Matter/Concentrated UU-Matter và hệ module riêng; chưa có large machine GTCEu 1:1.</t>
  </si>
  <si>
    <t>Port custom GTRecipeType + modular multiblock; không gộp thẳng vào MASS_FABRICATOR_RECIPES.</t>
  </si>
  <si>
    <t>Custom staged purification và validation; không có GTCEu large-machine 1:1.</t>
  </si>
  <si>
    <t>Custom recipe type và logic chạy dài; không có large machine core tương ứng.</t>
  </si>
  <si>
    <t>Giữ ở backlog xác minh: controller active và có recipe maps, nhưng chưa thấy recipe chế tạo controller.</t>
  </si>
  <si>
    <t>CẦN MAPPING: đối chiếu HPCA; chỉ tạo controller riêng nếu TST có rack/computation mechanic khác biệt đáng giữ.</t>
  </si>
  <si>
    <t>Overlap HPCA; cần audit computation, rack và dependency trước.</t>
  </si>
  <si>
    <t>Audit TST_Computer + GTResearchMachines/HPCA trước khi thiết kế.</t>
  </si>
  <si>
    <t>Coking / pyrolysis khối lượng lớn</t>
  </si>
  <si>
    <t>CẦN MAPPING: port 7 nhóm recipe riêng (Raw Radox + 6 log outputs) vào COKE_OVEN/PYROLYSE khi semantics khớp; không port infinite parallel vì GTCEu có Parallel Hatch.</t>
  </si>
  <si>
    <t>Vai trò lõi trùng, chỉ giữ nếu coil/throughput tạo gameplay riêng.</t>
  </si>
  <si>
    <t>Audit coil speed 1/(tier+1); mặc định dùng Coke/Pyrolyse Oven + Parallel Hatch, chỉ tạo controller riêng khi cần giữ coil progression.</t>
  </si>
  <si>
    <t>CẦN MAPPING: ghép recipe types GCYM hoặc custom pipeline nếu cần giữ fixed duration, lubricant và auto-routing.</t>
  </si>
  <si>
    <t>Pipeline nhiều bước, routing output và nguy cơ duplication.</t>
  </si>
  <si>
    <t>Audit TST_OreProcessingFactory rồi đối chiếu toàn bộ GCYMMachines ore processing.</t>
  </si>
  <si>
    <t>Khai thác starcore quy mô lớn</t>
  </si>
  <si>
    <t>CẦN MAPPING: dùng LARGE_MINER làm nền hoặc custom miner nếu radius/dimension/resource logic khác biệt.</t>
  </si>
  <si>
    <t>World scanning, chunk loading và cân bằng tài nguyên.</t>
  </si>
  <si>
    <t>Audit TST_StarcoreMiner + LARGE_MINER trước khi chốt kiến trúc.</t>
  </si>
  <si>
    <t>CẦN MAPPING: custom mining controller; giữ hai cấp schematic và xác minh recipe/tier trước.</t>
  </si>
  <si>
    <t>Chưa xác định recipe controller; world/dimension mining và schematic state.</t>
  </si>
  <si>
    <t>Audit TST_LaserMeteorMiner, schematic items và registration recipe.</t>
  </si>
  <si>
    <t>Đã loại vì trùng large_machine GTCEu</t>
  </si>
  <si>
    <t>26 controller còn bị loại khỏi backlog. Năm dòng người dùng đánh dấu xanh đã được chuyển sang backlog để audit cơ chế riêng trước khi mapping.</t>
  </si>
  <si>
    <t>Tier/controller gate</t>
  </si>
  <si>
    <t>Class TST</t>
  </si>
  <si>
    <t>Large machine GTCEu thay thế</t>
  </si>
  <si>
    <t>Logic chung</t>
  </si>
  <si>
    <t>Khuyến nghị</t>
  </si>
  <si>
    <t>Bằng chứng TST</t>
  </si>
  <si>
    <t>Bằng chứng GTCEu</t>
  </si>
  <si>
    <t>URL TST</t>
  </si>
  <si>
    <t>URL GTCEu</t>
  </si>
  <si>
    <t>AdvCircuitAssemblyLine</t>
  </si>
  <si>
    <t>TST_AdvCircuitAssemblyLine</t>
  </si>
  <si>
    <t>LARGE_ASSEMBLER + ASSEMBLY_LINE</t>
  </si>
  <si>
    <t>circuit assembler / assembly line</t>
  </si>
  <si>
    <t>LOẠI khỏi backlog controller mới; dùng/extend large machine GTCEu hiện có và chỉ port recipe hoặc modifier thật sự khác.</t>
  </si>
  <si>
    <t>src/main/java/com/Nxer/TwistSpaceTechnology/recipe/craftRecipe/machine/GTCMMachineRecipes.java:3046</t>
  </si>
  <si>
    <t>src/main/java/com/gregtechceu/gtceu/common/data/machines/GTMultiMachines.java:411</t>
  </si>
  <si>
    <t>https://github.com/Nxer/Twist-Space-Technology-Mod/blob/73571514cf8a1527db4975680456748ba32f373d/src/main/java/com/Nxer/TwistSpaceTechnology/recipe/craftRecipe/machine/GTCMMachineRecipes.java#L3046</t>
  </si>
  <si>
    <t>https://github.com/GregTechCEu/GregTech-Modern/blob/8cd929b289460ed0c35f8b931b68dd8a518876d1/src/main/java/com/gregtechceu/gtceu/common/data/machines/GTMultiMachines.java#L411</t>
  </si>
  <si>
    <t>BallLightning</t>
  </si>
  <si>
    <t>TST_BallLightning</t>
  </si>
  <si>
    <t>LARGE_ARC_SMELTER + FUSION_REACTOR</t>
  </si>
  <si>
    <t>arc/plasma arc/fusion processing</t>
  </si>
  <si>
    <t>src/main/java/com/Nxer/TwistSpaceTechnology/recipe/craftRecipe/machine/GTCMMachineRecipes.java:2312</t>
  </si>
  <si>
    <t>src/main/java/com/gregtechceu/gtceu/common/data/machines/GCYMMachines.java:347</t>
  </si>
  <si>
    <t>https://github.com/Nxer/Twist-Space-Technology-Mod/blob/73571514cf8a1527db4975680456748ba32f373d/src/main/java/com/Nxer/TwistSpaceTechnology/recipe/craftRecipe/machine/GTCMMachineRecipes.java#L2312</t>
  </si>
  <si>
    <t>https://github.com/GregTechCEu/GregTech-Modern/blob/8cd929b289460ed0c35f8b931b68dd8a518876d1/src/main/java/com/gregtechceu/gtceu/common/data/machines/GCYMMachines.java#L347</t>
  </si>
  <si>
    <t>BiosphereIII</t>
  </si>
  <si>
    <t>TST_BiosphereIII</t>
  </si>
  <si>
    <t>LARGE_BREWER</t>
  </si>
  <si>
    <t>brewing / fermentation</t>
  </si>
  <si>
    <t>src/main/java/com/Nxer/TwistSpaceTechnology/recipe/craftRecipe/machine/GTCMMachineRecipes.java:1550</t>
  </si>
  <si>
    <t>src/main/java/com/gregtechceu/gtceu/common/data/machines/GCYMMachines.java:540</t>
  </si>
  <si>
    <t>https://github.com/Nxer/Twist-Space-Technology-Mod/blob/73571514cf8a1527db4975680456748ba32f373d/src/main/java/com/Nxer/TwistSpaceTechnology/recipe/craftRecipe/machine/GTCMMachineRecipes.java#L1550</t>
  </si>
  <si>
    <t>https://github.com/GregTechCEu/GregTech-Modern/blob/8cd929b289460ed0c35f8b931b68dd8a518876d1/src/main/java/com/gregtechceu/gtceu/common/data/machines/GCYMMachines.java#L540</t>
  </si>
  <si>
    <t>CrystallineInfinitier</t>
  </si>
  <si>
    <t>GTCM_CrystallineInfinitier</t>
  </si>
  <si>
    <t>LARGE_AUTOCLAVE + LARGE_CHEMICAL_BATH</t>
  </si>
  <si>
    <t>autoclave / chemical bath</t>
  </si>
  <si>
    <t>src/main/java/com/Nxer/TwistSpaceTechnology/recipe/craftRecipe/machine/GTCMMachineRecipes.java:1119</t>
  </si>
  <si>
    <t>src/main/java/com/gregtechceu/gtceu/common/data/machines/GCYMMachines.java:486</t>
  </si>
  <si>
    <t>https://github.com/Nxer/Twist-Space-Technology-Mod/blob/73571514cf8a1527db4975680456748ba32f373d/src/main/java/com/Nxer/TwistSpaceTechnology/recipe/craftRecipe/machine/GTCMMachineRecipes.java#L1119</t>
  </si>
  <si>
    <t>https://github.com/GregTechCEu/GregTech-Modern/blob/8cd929b289460ed0c35f8b931b68dd8a518876d1/src/main/java/com/gregtechceu/gtceu/common/data/machines/GCYMMachines.java#L486</t>
  </si>
  <si>
    <t>HephaestusAtelier</t>
  </si>
  <si>
    <t>TST_HephaestusAtelier</t>
  </si>
  <si>
    <t>MULTI_SMELTER</t>
  </si>
  <si>
    <t>furnace / alloy smelter</t>
  </si>
  <si>
    <t>src/main/java/com/Nxer/TwistSpaceTechnology/recipe/craftRecipe/machine/GTCMMachineRecipes.java:1860</t>
  </si>
  <si>
    <t>src/main/java/com/gregtechceu/gtceu/common/data/machines/GTMultiMachines.java:272</t>
  </si>
  <si>
    <t>https://github.com/Nxer/Twist-Space-Technology-Mod/blob/73571514cf8a1527db4975680456748ba32f373d/src/main/java/com/Nxer/TwistSpaceTechnology/recipe/craftRecipe/machine/GTCMMachineRecipes.java#L1860</t>
  </si>
  <si>
    <t>https://github.com/GregTechCEu/GregTech-Modern/blob/8cd929b289460ed0c35f8b931b68dd8a518876d1/src/main/java/com/gregtechceu/gtceu/common/data/machines/GTMultiMachines.java#L272</t>
  </si>
  <si>
    <t>HolySeparator</t>
  </si>
  <si>
    <t>GT_TileEntity_HolySeparator</t>
  </si>
  <si>
    <t>LARGE_CUTTER</t>
  </si>
  <si>
    <t>cutter / lathe</t>
  </si>
  <si>
    <t>src/main/java/com/Nxer/TwistSpaceTechnology/recipe/craftRecipe/machine/GTCMMachineRecipes.java:954</t>
  </si>
  <si>
    <t>src/main/java/com/gregtechceu/gtceu/common/data/machines/GCYMMachines.java:570</t>
  </si>
  <si>
    <t>https://github.com/Nxer/Twist-Space-Technology-Mod/blob/73571514cf8a1527db4975680456748ba32f373d/src/main/java/com/Nxer/TwistSpaceTechnology/recipe/craftRecipe/machine/GTCMMachineRecipes.java#L954</t>
  </si>
  <si>
    <t>https://github.com/GregTechCEu/GregTech-Modern/blob/8cd929b289460ed0c35f8b931b68dd8a518876d1/src/main/java/com/gregtechceu/gtceu/common/data/machines/GCYMMachines.java#L570</t>
  </si>
  <si>
    <t>IndistinctTentacle</t>
  </si>
  <si>
    <t>TST_IndistinctTentacle</t>
  </si>
  <si>
    <t>assembler / assembly line</t>
  </si>
  <si>
    <t>src/main/java/com/Nxer/TwistSpaceTechnology/recipe/craftRecipe/machine/GTCMMachineRecipes.java:1607</t>
  </si>
  <si>
    <t>src/main/java/com/gregtechceu/gtceu/common/data/machines/GCYMMachines.java:279</t>
  </si>
  <si>
    <t>https://github.com/Nxer/Twist-Space-Technology-Mod/blob/73571514cf8a1527db4975680456748ba32f373d/src/main/java/com/Nxer/TwistSpaceTechnology/recipe/craftRecipe/machine/GTCMMachineRecipes.java#L1607</t>
  </si>
  <si>
    <t>https://github.com/GregTechCEu/GregTech-Modern/blob/8cd929b289460ed0c35f8b931b68dd8a518876d1/src/main/java/com/gregtechceu/gtceu/common/data/machines/GCYMMachines.java#L279</t>
  </si>
  <si>
    <t>IndistinctTentaclePrototypeMK2</t>
  </si>
  <si>
    <t>MM_IndistinctTentaclePrototypeMK2</t>
  </si>
  <si>
    <t>src/main/java/com/Nxer/TwistSpaceTechnology/recipe/craftRecipe/machine/GTCMMachineRecipes.java:3179</t>
  </si>
  <si>
    <t>https://github.com/Nxer/Twist-Space-Technology-Mod/blob/73571514cf8a1527db4975680456748ba32f373d/src/main/java/com/Nxer/TwistSpaceTechnology/recipe/craftRecipe/machine/GTCMMachineRecipes.java#L3179</t>
  </si>
  <si>
    <t>IntegratedAssemblyMatrix</t>
  </si>
  <si>
    <t>TST_IntegratedAssemblyMatrix</t>
  </si>
  <si>
    <t>ASSEMBLY_LINE</t>
  </si>
  <si>
    <t>assembly line; khác chủ yếu ở bypass research</t>
  </si>
  <si>
    <t>src/main/java/com/Nxer/TwistSpaceTechnology/recipe/craftRecipe/machine/GTCMMachineRecipes.java:3675</t>
  </si>
  <si>
    <t>https://github.com/Nxer/Twist-Space-Technology-Mod/blob/73571514cf8a1527db4975680456748ba32f373d/src/main/java/com/Nxer/TwistSpaceTechnology/recipe/craftRecipe/machine/GTCMMachineRecipes.java#L3675</t>
  </si>
  <si>
    <t>IntensifyChemicalDistorter</t>
  </si>
  <si>
    <t>GT_TileEntity_IntensifyChemicalDistorter</t>
  </si>
  <si>
    <t>LARGE_CHEMICAL_REACTOR</t>
  </si>
  <si>
    <t>chemical reactor</t>
  </si>
  <si>
    <t>src/main/java/com/Nxer/TwistSpaceTechnology/recipe/craftRecipe/machine/GTCMMachineRecipes.java:293</t>
  </si>
  <si>
    <t>src/main/java/com/gregtechceu/gtceu/common/data/machines/GTMultiMachines.java:187</t>
  </si>
  <si>
    <t>https://github.com/Nxer/Twist-Space-Technology-Mod/blob/73571514cf8a1527db4975680456748ba32f373d/src/main/java/com/Nxer/TwistSpaceTechnology/recipe/craftRecipe/machine/GTCMMachineRecipes.java#L293</t>
  </si>
  <si>
    <t>https://github.com/GregTechCEu/GregTech-Modern/blob/8cd929b289460ed0c35f8b931b68dd8a518876d1/src/main/java/com/gregtechceu/gtceu/common/data/machines/GTMultiMachines.java#L187</t>
  </si>
  <si>
    <t>MagneticDomainConstructor</t>
  </si>
  <si>
    <t>GT_TileEntity_MagneticDomainConstructor</t>
  </si>
  <si>
    <t>LARGE_ELECTROMAGNET</t>
  </si>
  <si>
    <t>electromagnetic separator / polarizer</t>
  </si>
  <si>
    <t>src/main/java/com/Nxer/TwistSpaceTechnology/recipe/craftRecipe/machine/GTCMMachineRecipes.java:875</t>
  </si>
  <si>
    <t>src/main/java/com/gregtechceu/gtceu/common/data/machines/GCYMMachines.java:226</t>
  </si>
  <si>
    <t>https://github.com/Nxer/Twist-Space-Technology-Mod/blob/73571514cf8a1527db4975680456748ba32f373d/src/main/java/com/Nxer/TwistSpaceTechnology/recipe/craftRecipe/machine/GTCMMachineRecipes.java#L875</t>
  </si>
  <si>
    <t>https://github.com/GregTechCEu/GregTech-Modern/blob/8cd929b289460ed0c35f8b931b68dd8a518876d1/src/main/java/com/gregtechceu/gtceu/common/data/machines/GCYMMachines.java#L226</t>
  </si>
  <si>
    <t>MagneticDrivePressureFormer</t>
  </si>
  <si>
    <t>GT_TileEntity_MagneticDrivePressureFormer</t>
  </si>
  <si>
    <t>LARGE_MATERIAL_PRESS + LARGE_EXTRUDER</t>
  </si>
  <si>
    <t>bender / forming press / extruder / hammer</t>
  </si>
  <si>
    <t>src/main/java/com/Nxer/TwistSpaceTechnology/recipe/craftRecipe/machine/GTCMMachineRecipes.java:775</t>
  </si>
  <si>
    <t>src/main/java/com/gregtechceu/gtceu/common/data/machines/GCYMMachines.java:513</t>
  </si>
  <si>
    <t>https://github.com/Nxer/Twist-Space-Technology-Mod/blob/73571514cf8a1527db4975680456748ba32f373d/src/main/java/com/Nxer/TwistSpaceTechnology/recipe/craftRecipe/machine/GTCMMachineRecipes.java#L775</t>
  </si>
  <si>
    <t>https://github.com/GregTechCEu/GregTech-Modern/blob/8cd929b289460ed0c35f8b931b68dd8a518876d1/src/main/java/com/gregtechceu/gtceu/common/data/machines/GCYMMachines.java#L513</t>
  </si>
  <si>
    <t>MagneticMixer</t>
  </si>
  <si>
    <t>GT_TileEntity_MagneticMixer</t>
  </si>
  <si>
    <t>LARGE_MIXER</t>
  </si>
  <si>
    <t>mixer</t>
  </si>
  <si>
    <t>src/main/java/com/Nxer/TwistSpaceTechnology/recipe/craftRecipe/machine/GTCMMachineRecipes.java:835</t>
  </si>
  <si>
    <t>src/main/java/com/gregtechceu/gtceu/common/data/machines/GCYMMachines.java:168</t>
  </si>
  <si>
    <t>https://github.com/Nxer/Twist-Space-Technology-Mod/blob/73571514cf8a1527db4975680456748ba32f373d/src/main/java/com/Nxer/TwistSpaceTechnology/recipe/craftRecipe/machine/GTCMMachineRecipes.java#L835</t>
  </si>
  <si>
    <t>https://github.com/GregTechCEu/GregTech-Modern/blob/8cd929b289460ed0c35f8b931b68dd8a518876d1/src/main/java/com/gregtechceu/gtceu/common/data/machines/GCYMMachines.java#L168</t>
  </si>
  <si>
    <t>MegaMacerator</t>
  </si>
  <si>
    <t>TST_MegaMacerator</t>
  </si>
  <si>
    <t>LARGE_MACERATION_TOWER</t>
  </si>
  <si>
    <t>macerator</t>
  </si>
  <si>
    <t>src/main/java/com/Nxer/TwistSpaceTechnology/recipe/craftRecipe/machine/GTCMMachineRecipes.java:1817</t>
  </si>
  <si>
    <t>src/main/java/com/gregtechceu/gtceu/common/data/machines/GCYMMachines.java:81</t>
  </si>
  <si>
    <t>https://github.com/Nxer/Twist-Space-Technology-Mod/blob/73571514cf8a1527db4975680456748ba32f373d/src/main/java/com/Nxer/TwistSpaceTechnology/recipe/craftRecipe/machine/GTCMMachineRecipes.java#L1817</t>
  </si>
  <si>
    <t>https://github.com/GregTechCEu/GregTech-Modern/blob/8cd929b289460ed0c35f8b931b68dd8a518876d1/src/main/java/com/gregtechceu/gtceu/common/data/machines/GCYMMachines.java#L81</t>
  </si>
  <si>
    <t>MiracleDoor</t>
  </si>
  <si>
    <t>TST_MiracleDoor</t>
  </si>
  <si>
    <t>BLAST_ALLOY_SMELTER</t>
  </si>
  <si>
    <t>alloy blast / alloy smelting</t>
  </si>
  <si>
    <t>src/main/java/com/Nxer/TwistSpaceTechnology/recipe/craftRecipe/machine/GTCMMachineRecipes.java:1158</t>
  </si>
  <si>
    <t>src/main/java/com/gregtechceu/gtceu/common/data/machines/GCYMMachines.java:436</t>
  </si>
  <si>
    <t>https://github.com/Nxer/Twist-Space-Technology-Mod/blob/73571514cf8a1527db4975680456748ba32f373d/src/main/java/com/Nxer/TwistSpaceTechnology/recipe/craftRecipe/machine/GTCMMachineRecipes.java#L1158</t>
  </si>
  <si>
    <t>https://github.com/GregTechCEu/GregTech-Modern/blob/8cd929b289460ed0c35f8b931b68dd8a518876d1/src/main/java/com/gregtechceu/gtceu/common/data/machines/GCYMMachines.java#L436</t>
  </si>
  <si>
    <t>MoleculeDeconstructor</t>
  </si>
  <si>
    <t>GT_TileEntity_MoleculeDeconstructor</t>
  </si>
  <si>
    <t>LARGE_CENTRIFUGE + LARGE_ELECTROLYZER</t>
  </si>
  <si>
    <t>centrifuge / electrolyzer</t>
  </si>
  <si>
    <t>src/main/java/com/Nxer/TwistSpaceTechnology/recipe/craftRecipe/machine/GTCMMachineRecipes.java:1086</t>
  </si>
  <si>
    <t>src/main/java/com/gregtechceu/gtceu/common/data/machines/GCYMMachines.java:140</t>
  </si>
  <si>
    <t>https://github.com/Nxer/Twist-Space-Technology-Mod/blob/73571514cf8a1527db4975680456748ba32f373d/src/main/java/com/Nxer/TwistSpaceTechnology/recipe/craftRecipe/machine/GTCMMachineRecipes.java#L1086</t>
  </si>
  <si>
    <t>https://github.com/GregTechCEu/GregTech-Modern/blob/8cd929b289460ed0c35f8b931b68dd8a518876d1/src/main/java/com/gregtechceu/gtceu/common/data/machines/GCYMMachines.java#L140</t>
  </si>
  <si>
    <t>PhysicalFormSwitcher</t>
  </si>
  <si>
    <t>GT_TileEntity_PhysicalFormSwitcher</t>
  </si>
  <si>
    <t>LARGE_EXTRACTOR + LARGE_SOLIDIFIER</t>
  </si>
  <si>
    <t>fluid extractor / solidifier</t>
  </si>
  <si>
    <t>src/main/java/com/Nxer/TwistSpaceTechnology/recipe/craftRecipe/machine/GTCMMachineRecipes.java:798</t>
  </si>
  <si>
    <t>src/main/java/com/gregtechceu/gtceu/common/data/machines/GCYMMachines.java:638</t>
  </si>
  <si>
    <t>https://github.com/Nxer/Twist-Space-Technology-Mod/blob/73571514cf8a1527db4975680456748ba32f373d/src/main/java/com/Nxer/TwistSpaceTechnology/recipe/craftRecipe/machine/GTCMMachineRecipes.java#L798</t>
  </si>
  <si>
    <t>https://github.com/GregTechCEu/GregTech-Modern/blob/8cd929b289460ed0c35f8b931b68dd8a518876d1/src/main/java/com/gregtechceu/gtceu/common/data/machines/GCYMMachines.java#L638</t>
  </si>
  <si>
    <t>PreciseHighEnergyPhotonicQuantumMaster</t>
  </si>
  <si>
    <t>GT_TileEntity_PreciseHighEnergyPhotonicQuantumMaster</t>
  </si>
  <si>
    <t>LARGE_ENGRAVING_LASER</t>
  </si>
  <si>
    <t>laser engraver</t>
  </si>
  <si>
    <t>src/main/java/com/Nxer/TwistSpaceTechnology/recipe/craftRecipe/machine/GTCMMachineRecipes.java:314</t>
  </si>
  <si>
    <t>src/main/java/com/gregtechceu/gtceu/common/data/machines/GCYMMachines.java:376</t>
  </si>
  <si>
    <t>https://github.com/Nxer/Twist-Space-Technology-Mod/blob/73571514cf8a1527db4975680456748ba32f373d/src/main/java/com/Nxer/TwistSpaceTechnology/recipe/craftRecipe/machine/GTCMMachineRecipes.java#L314</t>
  </si>
  <si>
    <t>https://github.com/GregTechCEu/GregTech-Modern/blob/8cd929b289460ed0c35f8b931b68dd8a518876d1/src/main/java/com/gregtechceu/gtceu/common/data/machines/GCYMMachines.java#L376</t>
  </si>
  <si>
    <t>Scavenger</t>
  </si>
  <si>
    <t>TST_Scavenger</t>
  </si>
  <si>
    <t>LARGE_SIFTING_FUNNEL</t>
  </si>
  <si>
    <t>sifter</t>
  </si>
  <si>
    <t>src/main/java/com/Nxer/TwistSpaceTechnology/recipe/craftRecipe/machine/GTCMMachineRecipes.java:1511</t>
  </si>
  <si>
    <t>src/main/java/com/gregtechceu/gtceu/common/data/machines/GCYMMachines.java:408</t>
  </si>
  <si>
    <t>https://github.com/Nxer/Twist-Space-Technology-Mod/blob/73571514cf8a1527db4975680456748ba32f373d/src/main/java/com/Nxer/TwistSpaceTechnology/recipe/craftRecipe/machine/GTCMMachineRecipes.java#L1511</t>
  </si>
  <si>
    <t>https://github.com/GregTechCEu/GregTech-Modern/blob/8cd929b289460ed0c35f8b931b68dd8a518876d1/src/main/java/com/gregtechceu/gtceu/common/data/machines/GCYMMachines.java#L408</t>
  </si>
  <si>
    <t>Silksong</t>
  </si>
  <si>
    <t>GT_TileEntity_Silksong</t>
  </si>
  <si>
    <t>LARGE_WIREMILL</t>
  </si>
  <si>
    <t>wiremill</t>
  </si>
  <si>
    <t>src/main/java/com/Nxer/TwistSpaceTechnology/recipe/craftRecipe/machine/GTCMMachineRecipes.java:899</t>
  </si>
  <si>
    <t>src/main/java/com/gregtechceu/gtceu/common/data/machines/GCYMMachines.java:720</t>
  </si>
  <si>
    <t>https://github.com/Nxer/Twist-Space-Technology-Mod/blob/73571514cf8a1527db4975680456748ba32f373d/src/main/java/com/Nxer/TwistSpaceTechnology/recipe/craftRecipe/machine/GTCMMachineRecipes.java#L899</t>
  </si>
  <si>
    <t>https://github.com/GregTechCEu/GregTech-Modern/blob/8cd929b289460ed0c35f8b931b68dd8a518876d1/src/main/java/com/gregtechceu/gtceu/common/data/machines/GCYMMachines.java#L720</t>
  </si>
  <si>
    <t>SpaceScaler</t>
  </si>
  <si>
    <t>GT_TileEntity_SpaceScaler</t>
  </si>
  <si>
    <t>IMPLOSION_COMPRESSOR + LARGE_EXTRACTOR</t>
  </si>
  <si>
    <t>compressor / extractor / implosion</t>
  </si>
  <si>
    <t>src/main/java/com/Nxer/TwistSpaceTechnology/recipe/craftRecipe/machine/GTCMMachineRecipes.java:1016</t>
  </si>
  <si>
    <t>src/main/java/com/gregtechceu/gtceu/common/data/machines/GTMultiMachines.java:215</t>
  </si>
  <si>
    <t>https://github.com/Nxer/Twist-Space-Technology-Mod/blob/73571514cf8a1527db4975680456748ba32f373d/src/main/java/com/Nxer/TwistSpaceTechnology/recipe/craftRecipe/machine/GTCMMachineRecipes.java#L1016</t>
  </si>
  <si>
    <t>https://github.com/GregTechCEu/GregTech-Modern/blob/8cd929b289460ed0c35f8b931b68dd8a518876d1/src/main/java/com/gregtechceu/gtceu/common/data/machines/GTMultiMachines.java#L215</t>
  </si>
  <si>
    <t>SwelegfyrBlastFurnace</t>
  </si>
  <si>
    <t>TST_SwelegfyrBlastFurnace</t>
  </si>
  <si>
    <t>ELECTRIC_BLAST_FURNACE + MEGA_BLAST_FURNACE</t>
  </si>
  <si>
    <t>blast furnace</t>
  </si>
  <si>
    <t>src/main/java/com/Nxer/TwistSpaceTechnology/recipe/craftRecipe/machine/GTCMMachineRecipes.java:3278</t>
  </si>
  <si>
    <t>src/main/java/com/gregtechceu/gtceu/common/data/machines/GTMultiMachines.java:141</t>
  </si>
  <si>
    <t>https://github.com/Nxer/Twist-Space-Technology-Mod/blob/73571514cf8a1527db4975680456748ba32f373d/src/main/java/com/Nxer/TwistSpaceTechnology/recipe/craftRecipe/machine/GTCMMachineRecipes.java#L3278</t>
  </si>
  <si>
    <t>https://github.com/GregTechCEu/GregTech-Modern/blob/8cd929b289460ed0c35f8b931b68dd8a518876d1/src/main/java/com/gregtechceu/gtceu/common/data/machines/GTMultiMachines.java#L141</t>
  </si>
  <si>
    <t>ThermalEnergyDevourer</t>
  </si>
  <si>
    <t>TST_ThermalEnergyDevourer</t>
  </si>
  <si>
    <t>VACUUM_FREEZER</t>
  </si>
  <si>
    <t>vacuum freezing</t>
  </si>
  <si>
    <t>src/main/java/com/Nxer/TwistSpaceTechnology/recipe/craftRecipe/machine/GTCMMachineRecipes.java:1657</t>
  </si>
  <si>
    <t>src/main/java/com/gregtechceu/gtceu/common/data/machines/GTMultiMachines.java:391</t>
  </si>
  <si>
    <t>https://github.com/Nxer/Twist-Space-Technology-Mod/blob/73571514cf8a1527db4975680456748ba32f373d/src/main/java/com/Nxer/TwistSpaceTechnology/recipe/craftRecipe/machine/GTCMMachineRecipes.java#L1657</t>
  </si>
  <si>
    <t>https://github.com/GregTechCEu/GregTech-Modern/blob/8cd929b289460ed0c35f8b931b68dd8a518876d1/src/main/java/com/gregtechceu/gtceu/common/data/machines/GTMultiMachines.java#L391</t>
  </si>
  <si>
    <t>VacuumFilterExtractor</t>
  </si>
  <si>
    <t>TST_VacuumFilterExtractor</t>
  </si>
  <si>
    <t>DISTILLATION_TOWER + LARGE_DISTILLERY</t>
  </si>
  <si>
    <t>distillation / distillery</t>
  </si>
  <si>
    <t>src/main/java/com/Nxer/TwistSpaceTechnology/recipe/craftRecipe/machine/GTCMMachineRecipes.java:1753</t>
  </si>
  <si>
    <t>src/main/java/com/gregtechceu/gtceu/common/data/machines/GTMultiMachines.java:352</t>
  </si>
  <si>
    <t>https://github.com/Nxer/Twist-Space-Technology-Mod/blob/73571514cf8a1527db4975680456748ba32f373d/src/main/java/com/Nxer/TwistSpaceTechnology/recipe/craftRecipe/machine/GTCMMachineRecipes.java#L1753</t>
  </si>
  <si>
    <t>https://github.com/GregTechCEu/GregTech-Modern/blob/8cd929b289460ed0c35f8b931b68dd8a518876d1/src/main/java/com/gregtechceu/gtceu/common/data/machines/GTMultiMachines.java#L352</t>
  </si>
  <si>
    <t>superCleanRoom</t>
  </si>
  <si>
    <t>ZPM+?</t>
  </si>
  <si>
    <t>TST_CleanRoom</t>
  </si>
  <si>
    <t>CLEANROOM</t>
  </si>
  <si>
    <t>cleanroom environment</t>
  </si>
  <si>
    <t>src/main/java/com/Nxer/TwistSpaceTechnology/common/machine/TST_CleanRoom.java (controller active; không thấy recipe chế tạo trực tiếp)</t>
  </si>
  <si>
    <t>src/main/java/com/gregtechceu/gtceu/common/data/machines/GTMultiMachines.java:684</t>
  </si>
  <si>
    <t>https://github.com/Nxer/Twist-Space-Technology-Mod/blob/73571514cf8a1527db4975680456748ba32f373d/src/main/java/com/Nxer/TwistSpaceTechnology/common/machine/TST_CleanRoom.java</t>
  </si>
  <si>
    <t>https://github.com/GregTechCEu/GregTech-Modern/blob/8cd929b289460ed0c35f8b931b68dd8a518876d1/src/main/java/com/gregtechceu/gtceu/common/data/machines/GTMultiMachines.java#L684</t>
  </si>
  <si>
    <t>CoreDeviceOfHumanPowerGenerationFacility</t>
  </si>
  <si>
    <t>TST_CoreDeviceOfHumanPowerGenerationFacility</t>
  </si>
  <si>
    <t>LARGE_BREWER + tiered FLUID_HEATER</t>
  </si>
  <si>
    <t>fluid heater; Perfect OC, coil speed bonus và unlimited parallel</t>
  </si>
  <si>
    <t>LOẠI controller khỏi backlog: source chỉ trả về fluidHeaterRecipes, không phát điện. GTCEu đã có Fluid Heater đơn khối và LARGE_BREWER chạy FLUID_HEATER_RECIPES với Parallel Hatch. Chỉ port recipe thật sự mới; không port infinite parallel.</t>
  </si>
  <si>
    <t>src/main/java/com/Nxer/TwistSpaceTechnology/common/machine/TST_CoreDeviceOfHumanPowerGenerationFacility.java:108</t>
  </si>
  <si>
    <t>https://github.com/Nxer/Twist-Space-Technology-Mod/blob/73571514cf8a1527db4975680456748ba32f373d/src/main/java/com/Nxer/TwistSpaceTechnology/common/machine/TST_CoreDeviceOfHumanPowerGenerationFacility.java#L108</t>
  </si>
  <si>
    <t>Controller ngoài phạm vi ZPM → endgame</t>
  </si>
  <si>
    <t>23 controller còn ngoài phạm vi. MeteorMiner đã được chuyển sang backlog theo đánh dấu xanh nhưng vẫn phải xác minh recipe controller và tier.</t>
  </si>
  <si>
    <t>Lý do loại phạm vi</t>
  </si>
  <si>
    <t>MachineLoader line</t>
  </si>
  <si>
    <t>AdvancedMegaOilCracker</t>
  </si>
  <si>
    <t>TST_AdvancedMegaOilCracker</t>
  </si>
  <si>
    <t>Không có bằng chứng mở khóa ZPM+ đáng tin cậy trong recipe tạo controller, hoặc controller thuộc giai đoạn thấp hơn.</t>
  </si>
  <si>
    <t>src/main/java/com/Nxer/TwistSpaceTechnology/common/machine/TST_AdvancedMegaOilCracker.java</t>
  </si>
  <si>
    <t>https://github.com/Nxer/Twist-Space-Technology-Mod/blob/73571514cf8a1527db4975680456748ba32f373d/src/main/java/com/Nxer/TwistSpaceTechnology/common/machine/TST_AdvancedMegaOilCracker.java</t>
  </si>
  <si>
    <t>BigBroArray</t>
  </si>
  <si>
    <t>TST_BigBroArray</t>
  </si>
  <si>
    <t>src/main/java/com/Nxer/TwistSpaceTechnology/common/machine/TST_BigBroArray.java</t>
  </si>
  <si>
    <t>https://github.com/Nxer/Twist-Space-Technology-Mod/blob/73571514cf8a1527db4975680456748ba32f373d/src/main/java/com/Nxer/TwistSpaceTechnology/common/machine/TST_BigBroArray.java</t>
  </si>
  <si>
    <t>BloodyHell</t>
  </si>
  <si>
    <t>TST_BloodyHell</t>
  </si>
  <si>
    <t>src/main/java/com/Nxer/TwistSpaceTechnology/common/machine/TST_BloodyHell.java</t>
  </si>
  <si>
    <t>https://github.com/Nxer/Twist-Space-Technology-Mod/blob/73571514cf8a1527db4975680456748ba32f373d/src/main/java/com/Nxer/TwistSpaceTechnology/common/machine/TST_BloodyHell.java</t>
  </si>
  <si>
    <t>CircuitConverter</t>
  </si>
  <si>
    <t>TST_CircuitConverter</t>
  </si>
  <si>
    <t>src/main/java/com/Nxer/TwistSpaceTechnology/system/CircuitConverter/machines/TST_CircuitConverter.java</t>
  </si>
  <si>
    <t>https://github.com/Nxer/Twist-Space-Technology-Mod/blob/73571514cf8a1527db4975680456748ba32f373d/src/main/java/com/Nxer/TwistSpaceTechnology/system/CircuitConverter/machines/TST_CircuitConverter.java</t>
  </si>
  <si>
    <t>ElvenWorkshop</t>
  </si>
  <si>
    <t>GTCM_ElvenWorkshop</t>
  </si>
  <si>
    <t>src/main/java/com/Nxer/TwistSpaceTechnology/common/machine/GTCM_ElvenWorkshop.java</t>
  </si>
  <si>
    <t>https://github.com/Nxer/Twist-Space-Technology-Mod/blob/73571514cf8a1527db4975680456748ba32f373d/src/main/java/com/Nxer/TwistSpaceTechnology/common/machine/GTCM_ElvenWorkshop.java</t>
  </si>
  <si>
    <t>ExtremeCraftCenter</t>
  </si>
  <si>
    <t>TST_MegaCraftingCenter</t>
  </si>
  <si>
    <t>src/main/java/com/Nxer/TwistSpaceTechnology/common/machine/TST_MegaCraftingCenter.java</t>
  </si>
  <si>
    <t>https://github.com/Nxer/Twist-Space-Technology-Mod/blob/73571514cf8a1527db4975680456748ba32f373d/src/main/java/com/Nxer/TwistSpaceTechnology/common/machine/TST_MegaCraftingCenter.java</t>
  </si>
  <si>
    <t>EyeOfWood</t>
  </si>
  <si>
    <t>TST_EyeOfWood</t>
  </si>
  <si>
    <t>src/main/java/com/Nxer/TwistSpaceTechnology/common/machine/TST_EyeOfWood.java</t>
  </si>
  <si>
    <t>https://github.com/Nxer/Twist-Space-Technology-Mod/blob/73571514cf8a1527db4975680456748ba32f373d/src/main/java/com/Nxer/TwistSpaceTechnology/common/machine/TST_EyeOfWood.java</t>
  </si>
  <si>
    <t>IndustrialAlchemyTower</t>
  </si>
  <si>
    <t>TST_IndustrialAlchemyTower</t>
  </si>
  <si>
    <t>src/main/java/com/Nxer/TwistSpaceTechnology/common/machine/TST_IndustrialAlchemyTower.java</t>
  </si>
  <si>
    <t>https://github.com/Nxer/Twist-Space-Technology-Mod/blob/73571514cf8a1527db4975680456748ba32f373d/src/main/java/com/Nxer/TwistSpaceTechnology/common/machine/TST_IndustrialAlchemyTower.java</t>
  </si>
  <si>
    <t>IndustrialMagicMatrix</t>
  </si>
  <si>
    <t>GT_TileEntity_IndustrialMagicMatrix</t>
  </si>
  <si>
    <t>src/main/java/com/Nxer/TwistSpaceTechnology/common/machine/GT_TileEntity_IndustrialMagicMatrix.java</t>
  </si>
  <si>
    <t>https://github.com/Nxer/Twist-Space-Technology-Mod/blob/73571514cf8a1527db4975680456748ba32f373d/src/main/java/com/Nxer/TwistSpaceTechnology/common/machine/GT_TileEntity_IndustrialMagicMatrix.java</t>
  </si>
  <si>
    <t>IndustrialMagnetarSeparator</t>
  </si>
  <si>
    <t>TST_IndustrialMagnetarSeparator</t>
  </si>
  <si>
    <t>src/main/java/com/Nxer/TwistSpaceTechnology/common/machine/TST_IndustrialMagnetarSeparator.java</t>
  </si>
  <si>
    <t>https://github.com/Nxer/Twist-Space-Technology-Mod/blob/73571514cf8a1527db4975680456748ba32f373d/src/main/java/com/Nxer/TwistSpaceTechnology/common/machine/TST_IndustrialMagnetarSeparator.java</t>
  </si>
  <si>
    <t>InfusionMaterialDispenser</t>
  </si>
  <si>
    <t>TST_InfusionMaterialDispenser</t>
  </si>
  <si>
    <t>src/main/java/com/Nxer/TwistSpaceTechnology/common/machine/TST_InfusionMaterialDispenser.java</t>
  </si>
  <si>
    <t>https://github.com/Nxer/Twist-Space-Technology-Mod/blob/73571514cf8a1527db4975680456748ba32f373d/src/main/java/com/Nxer/TwistSpaceTechnology/common/machine/TST_InfusionMaterialDispenser.java</t>
  </si>
  <si>
    <t>LargeSolarBoiler</t>
  </si>
  <si>
    <t>TST_LargeSolarBoiler</t>
  </si>
  <si>
    <t>src/main/java/com/Nxer/TwistSpaceTechnology/common/machine/GeneratorMultis/TST_LargeSolarBoiler.java</t>
  </si>
  <si>
    <t>https://github.com/Nxer/Twist-Space-Technology-Mod/blob/73571514cf8a1527db4975680456748ba32f373d/src/main/java/com/Nxer/TwistSpaceTechnology/common/machine/GeneratorMultis/TST_LargeSolarBoiler.java</t>
  </si>
  <si>
    <t>LargeSteamAlloySmelter</t>
  </si>
  <si>
    <t>TST_LargeSteamAlloySmelter</t>
  </si>
  <si>
    <t>src/main/java/com/Nxer/TwistSpaceTechnology/common/machine/TST_LargeSteamAlloySmelter.java</t>
  </si>
  <si>
    <t>https://github.com/Nxer/Twist-Space-Technology-Mod/blob/73571514cf8a1527db4975680456748ba32f373d/src/main/java/com/Nxer/TwistSpaceTechnology/common/machine/TST_LargeSteamAlloySmelter.java</t>
  </si>
  <si>
    <t>LargeSteamForgeHammer</t>
  </si>
  <si>
    <t>TST_LargeSteamForgeHammer</t>
  </si>
  <si>
    <t>src/main/java/com/Nxer/TwistSpaceTechnology/common/machine/TST_LargeSteamForgeHammer.java</t>
  </si>
  <si>
    <t>https://github.com/Nxer/Twist-Space-Technology-Mod/blob/73571514cf8a1527db4975680456748ba32f373d/src/main/java/com/Nxer/TwistSpaceTechnology/common/machine/TST_LargeSteamForgeHammer.java</t>
  </si>
  <si>
    <t>LightningSpire</t>
  </si>
  <si>
    <t>GTCM_LightningSpire</t>
  </si>
  <si>
    <t>src/main/java/com/Nxer/TwistSpaceTechnology/common/machine/GeneratorMultis/GTCM_LightningSpire.java</t>
  </si>
  <si>
    <t>https://github.com/Nxer/Twist-Space-Technology-Mod/blob/73571514cf8a1527db4975680456748ba32f373d/src/main/java/com/Nxer/TwistSpaceTechnology/common/machine/GeneratorMultis/GTCM_LightningSpire.java</t>
  </si>
  <si>
    <t>ManufacturingCenter</t>
  </si>
  <si>
    <t>TST_ManufacturingCenter</t>
  </si>
  <si>
    <t>src/main/java/com/Nxer/TwistSpaceTechnology/common/machine/TST_ManufacturingCenter.java</t>
  </si>
  <si>
    <t>https://github.com/Nxer/Twist-Space-Technology-Mod/blob/73571514cf8a1527db4975680456748ba32f373d/src/main/java/com/Nxer/TwistSpaceTechnology/common/machine/TST_ManufacturingCenter.java</t>
  </si>
  <si>
    <t>MegaBrickedBlastFurnace</t>
  </si>
  <si>
    <t>GT_TileEntity_MegaBrickedBlastFurnace</t>
  </si>
  <si>
    <t>src/main/java/com/Nxer/TwistSpaceTechnology/common/machine/GT_TileEntity_MegaBrickedBlastFurnace.java</t>
  </si>
  <si>
    <t>https://github.com/Nxer/Twist-Space-Technology-Mod/blob/73571514cf8a1527db4975680456748ba32f373d/src/main/java/com/Nxer/TwistSpaceTechnology/common/machine/GT_TileEntity_MegaBrickedBlastFurnace.java</t>
  </si>
  <si>
    <t>MegaEggGenerator</t>
  </si>
  <si>
    <t>GT_TileEntity_MegaEggGenerator</t>
  </si>
  <si>
    <t>src/main/java/com/Nxer/TwistSpaceTechnology/common/machine/GeneratorMultis/GT_TileEntity_MegaEggGenerator.java</t>
  </si>
  <si>
    <t>https://github.com/Nxer/Twist-Space-Technology-Mod/blob/73571514cf8a1527db4975680456748ba32f373d/src/main/java/com/Nxer/TwistSpaceTechnology/common/machine/GeneratorMultis/GT_TileEntity_MegaEggGenerator.java</t>
  </si>
  <si>
    <t>PrimordialDisjunctus</t>
  </si>
  <si>
    <t>TST_PrimordialDisjunctus</t>
  </si>
  <si>
    <t>src/main/java/com/Nxer/TwistSpaceTechnology/common/machine/TST_PrimordialDisjunctus.java</t>
  </si>
  <si>
    <t>https://github.com/Nxer/Twist-Space-Technology-Mod/blob/73571514cf8a1527db4975680456748ba32f373d/src/main/java/com/Nxer/TwistSpaceTechnology/common/machine/TST_PrimordialDisjunctus.java</t>
  </si>
  <si>
    <t>ProcessingArray</t>
  </si>
  <si>
    <t>TST_ProcessingArray</t>
  </si>
  <si>
    <t>src/main/java/com/Nxer/TwistSpaceTechnology/common/machine/TST_ProcessingArray.java</t>
  </si>
  <si>
    <t>https://github.com/Nxer/Twist-Space-Technology-Mod/blob/73571514cf8a1527db4975680456748ba32f373d/src/main/java/com/Nxer/TwistSpaceTechnology/common/machine/TST_ProcessingArray.java</t>
  </si>
  <si>
    <t>SkypiercerTower</t>
  </si>
  <si>
    <t>TST_SkypiercerTower</t>
  </si>
  <si>
    <t>src/main/java/com/Nxer/TwistSpaceTechnology/common/machine/TST_SkypiercerTower.java</t>
  </si>
  <si>
    <t>https://github.com/Nxer/Twist-Space-Technology-Mod/blob/73571514cf8a1527db4975680456748ba32f373d/src/main/java/com/Nxer/TwistSpaceTechnology/common/machine/TST_SkypiercerTower.java</t>
  </si>
  <si>
    <t>SteamBasicGenerator</t>
  </si>
  <si>
    <t>TST_SteamBasicGenerator</t>
  </si>
  <si>
    <t>src/main/java/com/Nxer/TwistSpaceTechnology/common/machine/GeneratorMultis/TST_SteamBasicGenerator.java</t>
  </si>
  <si>
    <t>https://github.com/Nxer/Twist-Space-Technology-Mod/blob/73571514cf8a1527db4975680456748ba32f373d/src/main/java/com/Nxer/TwistSpaceTechnology/common/machine/GeneratorMultis/TST_SteamBasicGenerator.java</t>
  </si>
  <si>
    <t>UniversalGenerator</t>
  </si>
  <si>
    <t>TST_UniversalGenerator</t>
  </si>
  <si>
    <t>src/main/java/com/Nxer/TwistSpaceTechnology/common/machine/GeneratorMultis/TST_UniversalGenerator.java</t>
  </si>
  <si>
    <t>https://github.com/Nxer/Twist-Space-Technology-Mod/blob/73571514cf8a1527db4975680456748ba32f373d/src/main/java/com/Nxer/TwistSpaceTechnology/common/machine/GeneratorMultis/TST_UniversalGenerator.java</t>
  </si>
  <si>
    <t>GTCEu 1.20.1 API / code anchors</t>
  </si>
  <si>
    <t>Các path được kiểm tra tại commit ghi trong sheet Phương pháp &amp; nguồn.</t>
  </si>
  <si>
    <t>Chủ đề</t>
  </si>
  <si>
    <t>Class/API/registry</t>
  </si>
  <si>
    <t>Path trong GregTech Modern</t>
  </si>
  <si>
    <t>Cách dùng khi port</t>
  </si>
  <si>
    <t>URL source</t>
  </si>
  <si>
    <t>Ghi chú</t>
  </si>
  <si>
    <t>Đăng ký multiblock</t>
  </si>
  <si>
    <t>MultiblockMachineBuilder</t>
  </si>
  <si>
    <t>src/main/java/com/gregtechceu/gtceu/api/registry/registrate/MultiblockMachineBuilder.java</t>
  </si>
  <si>
    <t>Đăng ký definition, pattern, recipe types/modifiers</t>
  </si>
  <si>
    <t>https://github.com/GregTechCEu/GregTech-Modern/blob/8cd929b289460ed0c35f8b931b68dd8a518876d1/src/main/java/com/gregtechceu/gtceu/api/registry/registrate/MultiblockMachineBuilder.java</t>
  </si>
  <si>
    <t>Nền tảng controller mới</t>
  </si>
  <si>
    <t>Pattern</t>
  </si>
  <si>
    <t>MultiblockPatternBuilder</t>
  </si>
  <si>
    <t>src/main/java/com/gregtechceu/gtceu/api/multiblock/pattern/MultiblockPatternBuilder.java</t>
  </si>
  <si>
    <t>Chuyển StructureLib shape sang aisle/where</t>
  </si>
  <si>
    <t>https://github.com/GregTechCEu/GregTech-Modern/blob/8cd929b289460ed0c35f8b931b68dd8a518876d1/src/main/java/com/gregtechceu/gtceu/api/multiblock/pattern/MultiblockPatternBuilder.java</t>
  </si>
  <si>
    <t>Không port StructureLib trực tiếp</t>
  </si>
  <si>
    <t>Hatch/ability</t>
  </si>
  <si>
    <t>Predicates + PartAbility</t>
  </si>
  <si>
    <t>src/main/java/com/gregtechceu/gtceu/api/multiblock/Predicates.java</t>
  </si>
  <si>
    <t>Items/fluids/energy/laser/computation/data</t>
  </si>
  <si>
    <t>https://github.com/GregTechCEu/GregTech-Modern/blob/8cd929b289460ed0c35f8b931b68dd8a518876d1/src/main/java/com/gregtechceu/gtceu/api/multiblock/Predicates.java</t>
  </si>
  <si>
    <t>Đặt giới hạn ability rõ ràng</t>
  </si>
  <si>
    <t>Máy xử lý</t>
  </si>
  <si>
    <t>WorkableElectricMultiblockMachine</t>
  </si>
  <si>
    <t>src/main/java/com/gregtechceu/gtceu/api/machine/multiblock/WorkableElectricMultiblockMachine.java</t>
  </si>
  <si>
    <t>Base cho processor</t>
  </si>
  <si>
    <t>https://github.com/GregTechCEu/GregTech-Modern/blob/8cd929b289460ed0c35f8b931b68dd8a518876d1/src/main/java/com/gregtechceu/gtceu/api/machine/multiblock/WorkableElectricMultiblockMachine.java</t>
  </si>
  <si>
    <t>Gắn RecipeModifier</t>
  </si>
  <si>
    <t>Recipe scaling</t>
  </si>
  <si>
    <t>RecipeModifier</t>
  </si>
  <si>
    <t>src/main/java/com/gregtechceu/gtceu/api/recipe/modifier/RecipeModifier.java</t>
  </si>
  <si>
    <t>Parallel, EU/t, duration, OC và điều kiện custom</t>
  </si>
  <si>
    <t>https://github.com/GregTechCEu/GregTech-Modern/blob/8cd929b289460ed0c35f8b931b68dd8a518876d1/src/main/java/com/gregtechceu/gtceu/api/recipe/modifier/RecipeModifier.java</t>
  </si>
  <si>
    <t>Không copy ProcessingLogic 1.7.10</t>
  </si>
  <si>
    <t>Recipe types</t>
  </si>
  <si>
    <t>GTRecipeTypes</t>
  </si>
  <si>
    <t>src/main/java/com/gregtechceu/gtceu/common/data/GTRecipeTypes.java</t>
  </si>
  <si>
    <t>Tái dùng recipe type khi semantics khớp</t>
  </si>
  <si>
    <t>https://github.com/GregTechCEu/GregTech-Modern/blob/8cd929b289460ed0c35f8b931b68dd8a518876d1/src/main/java/com/gregtechceu/gtceu/common/data/GTRecipeTypes.java</t>
  </si>
  <si>
    <t>Custom type khi không khớp</t>
  </si>
  <si>
    <t>Registry core</t>
  </si>
  <si>
    <t>GTMultiMachines</t>
  </si>
  <si>
    <t>src/main/java/com/gregtechceu/gtceu/common/data/machines/GTMultiMachines.java</t>
  </si>
  <si>
    <t>Đối chiếu EBF, LCR, vacuum, distillation, miner, cleanroom…</t>
  </si>
  <si>
    <t>https://github.com/GregTechCEu/GregTech-Modern/blob/8cd929b289460ed0c35f8b931b68dd8a518876d1/src/main/java/com/gregtechceu/gtceu/common/data/machines/GTMultiMachines.java</t>
  </si>
  <si>
    <t>Nguồn loại máy trùng</t>
  </si>
  <si>
    <t>Registry GCYM</t>
  </si>
  <si>
    <t>GCYMMachines</t>
  </si>
  <si>
    <t>src/main/java/com/gregtechceu/gtceu/common/data/machines/GCYMMachines.java</t>
  </si>
  <si>
    <t>Đối chiếu large processors</t>
  </si>
  <si>
    <t>https://github.com/GregTechCEu/GregTech-Modern/blob/8cd929b289460ed0c35f8b931b68dd8a518876d1/src/main/java/com/gregtechceu/gtceu/common/data/machines/GCYMMachines.java</t>
  </si>
  <si>
    <t>Computation</t>
  </si>
  <si>
    <t>GTResearchMachines / HPCA</t>
  </si>
  <si>
    <t>src/main/java/com/gregtechceu/gtceu/common/data/machines/GTResearchMachines.java</t>
  </si>
  <si>
    <t>HPCA và computation abilities</t>
  </si>
  <si>
    <t>https://github.com/GregTechCEu/GregTech-Modern/blob/8cd929b289460ed0c35f8b931b68dd8a518876d1/src/main/java/com/gregtechceu/gtceu/common/data/machines/GTResearchMachines.java</t>
  </si>
  <si>
    <t>Thay Astral Computing Array</t>
  </si>
  <si>
    <t>Fluid Heater overlap</t>
  </si>
  <si>
    <t>FLUID_HEATER + LARGE_BREWER</t>
  </si>
  <si>
    <t>GTMachines.java:261; GCYMMachines.java:540</t>
  </si>
  <si>
    <t>Tiered Fluid Heater có sẵn; LARGE_BREWER nhận FLUID_HEATER_RECIPES và hỗ trợ Parallel Hatch</t>
  </si>
  <si>
    <t>Lý do loại Core Device khỏi backlog controller mới</t>
  </si>
  <si>
    <t>Phương pháp, phạm vi &amp; nguồn</t>
  </si>
  <si>
    <t>Tiêu chí lọc có thể audit và lặp lại khi source thay đổi.</t>
  </si>
  <si>
    <t>Mục</t>
  </si>
  <si>
    <t>Chi tiết</t>
  </si>
  <si>
    <t>Ý nghĩa</t>
  </si>
  <si>
    <t>Hành động</t>
  </si>
  <si>
    <t>TST repository</t>
  </si>
  <si>
    <t>https://github.com/Nxer/Twist-Space-Technology-Mod</t>
  </si>
  <si>
    <t>Có controller class và recipe/gate source trực tiếp</t>
  </si>
  <si>
    <t>Có thể bắt đầu port</t>
  </si>
  <si>
    <t>TST commit</t>
  </si>
  <si>
    <t>73571514cf8a1527db4975680456748ba32f373d</t>
  </si>
  <si>
    <t>Feature/code rõ nhưng recipe/progression còn thiếu</t>
  </si>
  <si>
    <t>Xác minh config/pack trước</t>
  </si>
  <si>
    <t>GTCEu repository</t>
  </si>
  <si>
    <t>https://github.com/GregTechCEu/GregTech-Modern/tree/1.20.1</t>
  </si>
  <si>
    <t>Low</t>
  </si>
  <si>
    <t>Chỉ suy luận từ tên/tooltip</t>
  </si>
  <si>
    <t>Không đưa vào danh sách chính</t>
  </si>
  <si>
    <t>GTCEu commit</t>
  </si>
  <si>
    <t>8cd929b289460ed0c35f8b931b68dd8a518876d1</t>
  </si>
  <si>
    <t>Bước 1 — inventory</t>
  </si>
  <si>
    <t>Bóc toàn bộ GTCMItemList.*.set(...) trong MachineLoader, bỏ block comment; xác nhận multiblock qua inheritance/structure definition.</t>
  </si>
  <si>
    <t>Bước 2 — lọc stage</t>
  </si>
  <si>
    <t>Đọc đúng block recipe tạo controller. Mốc mở khóa ước tính là tier cao hơn giữa recipe EU/t và linh kiện tiered bắt buộc; recipe shaped/Thaumcraft/TTRecipeAdder được xử lý riêng.</t>
  </si>
  <si>
    <t>Bước 3 — loại trùng</t>
  </si>
  <si>
    <t>So recipe maps/getAvailableRecipeMaps và chức năng lõi với GTMultiMachines, GCYMMachines và GTResearchMachines/HPCA. Nếu large machine hiện có làm cùng việc, loại khỏi backlog controller mới.</t>
  </si>
  <si>
    <t>Không loại chỉ vì single-block</t>
  </si>
  <si>
    <t>Nếu GTCEu chỉ có machine đơn hoặc recipe type nhưng chưa có large-machine tương ứng, vẫn giữ multiblock TST để port.</t>
  </si>
  <si>
    <t>Kết quả audit</t>
  </si>
  <si>
    <t>77 active = 25 backlog + 26 loại trùng + 23 ngoài phạm vi + 3 người dùng loại theo màu đỏ.</t>
  </si>
  <si>
    <t>File Excel người dùng</t>
  </si>
  <si>
    <t>File (2) là backlog/quyết định; file Full chỉ bổ sung bố cục. Machine facts phải xác minh bằng source TST và GTCEu.</t>
  </si>
  <si>
    <t>Ngoại lệ</t>
  </si>
  <si>
    <t>HyperSpacetimeTransformer: active controller + recipe maps nhưng chưa thấy recipe chế tạo controller; giữ confidence Medium để không bỏ sót code endgame.</t>
  </si>
  <si>
    <t>Quy tắc màu đỏ</t>
  </si>
  <si>
    <t>Xóa machine khỏi danh sách và mapping.</t>
  </si>
  <si>
    <t>Quy tắc màu vàng</t>
  </si>
  <si>
    <t>Audit source TST/GTCEu; chỉ giữ khi có recipe hoặc cơ chế riêng đáng port.</t>
  </si>
  <si>
    <t>Quy tắc màu xanh</t>
  </si>
  <si>
    <t>Đưa machine vào backlog để audit và mapping trong phase sau.</t>
  </si>
  <si>
    <t>Hiệu chỉnh Core Device</t>
  </si>
  <si>
    <t>TST_CoreDeviceOfHumanPowerGenerationFacility.getRecipeMap() trả về fluidHeaterRecipes; Perfect OC/infinite parallel/coil bonus không biến nó thành máy phát điện.</t>
  </si>
  <si>
    <t>GTCEu đã có tiered Fluid Heater và LARGE_BREWER nhận FLUID_HEATER_RECIPES + Parallel Hatch.</t>
  </si>
  <si>
    <t>Chuyển sang overlap; không port controller/infinite parallel, chỉ port recipe thật sự mới nếu có.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</si>
</sst>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>
    <font>
      <sz val="11"/>
      <color rgb="FF000000"/>
      <name val="Carlito"/>
    </font>
    <font>
      <b/>
      <sz val="18"/>
      <color rgb="FFFFFFFF"/>
      <name val="Play"/>
    </font>
    <font>
      <i/>
      <sz val="10"/>
      <color rgb="FF334155"/>
      <name val="Aptos"/>
    </font>
    <font>
      <sz val="10"/>
      <color theme="1"/>
      <name val="Aptos"/>
    </font>
    <font>
      <b/>
      <sz val="10"/>
      <color rgb="FFFFFFFF"/>
      <name val="Aptos"/>
    </font>
    <font>
      <sz val="11"/>
      <color theme="1"/>
      <name val="Carlito"/>
    </font>
    <font>
      <b/>
      <sz val="10"/>
      <color rgb="FF3B2F00"/>
      <name val="Aptos"/>
    </font>
    <font>
      <sz val="10"/>
      <name val="Aptos"/>
    </font>
  </fonts>
  <fills count="21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0F766E"/>
      </patternFill>
    </fill>
    <fill>
      <patternFill patternType="solid">
        <fgColor rgb="FF00FF00"/>
      </patternFill>
    </fill>
    <fill>
      <patternFill patternType="solid">
        <fgColor rgb="FFFF0000"/>
      </patternFill>
    </fill>
    <fill>
      <patternFill patternType="solid">
        <fgColor rgb="FFF4B942"/>
      </patternFill>
    </fill>
    <fill>
      <patternFill patternType="solid">
        <fgColor rgb="FFFFF8E1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DDF4E7"/>
      </patternFill>
    </fill>
    <fill>
      <patternFill patternType="solid">
        <fgColor rgb="FFFEF3C7"/>
      </patternFill>
    </fill>
    <fill>
      <patternFill patternType="solid">
        <fgColor rgb="FFFDE2E2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00B050"/>
      </patternFill>
    </fill>
    <fill>
      <patternFill patternType="solid">
        <fgColor rgb="FFDDF4E7"/>
      </patternFill>
    </fill>
    <fill>
      <patternFill patternType="solid">
        <fgColor rgb="FFFDE2E2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CBD5E1"/>
      </left>
      <right style="thin">
        <color rgb="FFB8D5D0"/>
      </right>
      <top style="thin">
        <color rgb="FFCBD5E1"/>
      </top>
      <bottom/>
      <diagonal/>
    </border>
    <border>
      <left style="thin">
        <color rgb="FFB8D5D0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B8D5D0"/>
      </right>
      <top style="thin">
        <color rgb="FFCBD5E1"/>
      </top>
      <bottom/>
      <diagonal/>
    </border>
    <border>
      <left style="thin">
        <color rgb="FFB8D5D0"/>
      </left>
      <right style="thin">
        <color rgb="FFB8D5D0"/>
      </right>
      <top style="thin">
        <color rgb="FFCBD5E1"/>
      </top>
      <bottom/>
      <diagonal/>
    </border>
    <border>
      <left style="thin">
        <color rgb="FFB8D5D0"/>
      </left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B8D5D0"/>
      </right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B8D5D0"/>
      </left>
      <right style="thin">
        <color rgb="FFB8D5D0"/>
      </right>
      <top/>
      <bottom/>
      <diagonal/>
    </border>
    <border>
      <left style="thin">
        <color rgb="FFB8D5D0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3" fillId="0" borderId="3" xfId="0" applyFont="1" applyBorder="1"/>
    <xf numFmtId="0" fontId="4" fillId="4" borderId="4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3" fillId="0" borderId="7" xfId="0" applyFont="1" applyBorder="1"/>
    <xf numFmtId="0" fontId="4" fillId="4" borderId="8" xfId="0" applyFont="1" applyFill="1" applyBorder="1" applyAlignment="1">
      <alignment horizontal="left" vertical="center" wrapText="1"/>
    </xf>
    <xf numFmtId="0" fontId="3" fillId="0" borderId="9" xfId="0" applyFont="1" applyBorder="1"/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5" borderId="0" xfId="0" applyFont="1" applyFill="1"/>
    <xf numFmtId="164" fontId="3" fillId="0" borderId="0" xfId="0" applyNumberFormat="1" applyFont="1"/>
    <xf numFmtId="0" fontId="5" fillId="6" borderId="0" xfId="0" applyFont="1" applyFill="1"/>
    <xf numFmtId="0" fontId="5" fillId="9" borderId="0" xfId="0" applyFont="1" applyFill="1"/>
    <xf numFmtId="0" fontId="4" fillId="4" borderId="8" xfId="0" applyFont="1" applyFill="1" applyBorder="1" applyAlignment="1">
      <alignment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10" borderId="0" xfId="0" applyFont="1" applyFill="1" applyAlignment="1">
      <alignment vertical="center"/>
    </xf>
    <xf numFmtId="0" fontId="3" fillId="10" borderId="0" xfId="0" applyFont="1" applyFill="1" applyAlignment="1">
      <alignment vertical="center" wrapText="1"/>
    </xf>
    <xf numFmtId="0" fontId="0" fillId="11" borderId="0" xfId="0" applyFill="1"/>
    <xf numFmtId="0" fontId="3" fillId="13" borderId="0" xfId="0" applyFont="1" applyFill="1" applyAlignment="1">
      <alignment vertical="center"/>
    </xf>
    <xf numFmtId="0" fontId="0" fillId="13" borderId="0" xfId="0" applyFill="1"/>
    <xf numFmtId="0" fontId="0" fillId="12" borderId="0" xfId="0" applyFill="1"/>
    <xf numFmtId="0" fontId="0" fillId="14" borderId="0" xfId="0" applyFill="1"/>
    <xf numFmtId="0" fontId="3" fillId="15" borderId="0" xfId="0" applyFont="1" applyFill="1" applyAlignment="1">
      <alignment vertical="center"/>
    </xf>
    <xf numFmtId="0" fontId="3" fillId="15" borderId="0" xfId="0" applyFont="1" applyFill="1" applyAlignment="1">
      <alignment vertical="center" wrapText="1"/>
    </xf>
    <xf numFmtId="0" fontId="3" fillId="16" borderId="0" xfId="0" applyFont="1" applyFill="1" applyAlignment="1">
      <alignment vertical="center"/>
    </xf>
    <xf numFmtId="0" fontId="3" fillId="16" borderId="0" xfId="0" applyFont="1" applyFill="1" applyAlignment="1">
      <alignment vertical="center" wrapText="1"/>
    </xf>
    <xf numFmtId="0" fontId="3" fillId="17" borderId="0" xfId="0" applyFont="1" applyFill="1" applyAlignment="1">
      <alignment vertical="center"/>
    </xf>
    <xf numFmtId="0" fontId="3" fillId="17" borderId="0" xfId="0" applyFont="1" applyFill="1" applyAlignment="1">
      <alignment vertical="center" wrapText="1"/>
    </xf>
    <xf numFmtId="0" fontId="0" fillId="17" borderId="0" xfId="0" applyFill="1"/>
    <xf numFmtId="0" fontId="0" fillId="17" borderId="0" xfId="0" applyFill="1" applyAlignment="1">
      <alignment wrapText="1"/>
    </xf>
    <xf numFmtId="0" fontId="3" fillId="18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7" fillId="19" borderId="0" xfId="0" applyFont="1" applyFill="1" applyAlignment="1">
      <alignment vertical="center"/>
    </xf>
    <xf numFmtId="0" fontId="7" fillId="19" borderId="0" xfId="0" applyFont="1" applyFill="1" applyAlignment="1">
      <alignment vertical="center" wrapText="1"/>
    </xf>
    <xf numFmtId="0" fontId="0" fillId="19" borderId="0" xfId="0" applyFill="1"/>
    <xf numFmtId="0" fontId="3" fillId="19" borderId="0" xfId="0" applyFont="1" applyFill="1" applyAlignment="1">
      <alignment vertical="center"/>
    </xf>
    <xf numFmtId="0" fontId="3" fillId="19" borderId="0" xfId="0" applyFont="1" applyFill="1" applyAlignment="1">
      <alignment vertical="center" wrapText="1"/>
    </xf>
    <xf numFmtId="0" fontId="3" fillId="20" borderId="0" xfId="0" applyFont="1" applyFill="1" applyAlignment="1">
      <alignment vertical="center"/>
    </xf>
    <xf numFmtId="0" fontId="3" fillId="20" borderId="0" xfId="0" applyFont="1" applyFill="1" applyAlignment="1">
      <alignment vertical="center" wrapText="1"/>
    </xf>
    <xf numFmtId="0" fontId="0" fillId="20" borderId="0" xfId="0" applyFill="1"/>
    <xf numFmtId="0" fontId="5" fillId="19" borderId="0" xfId="0" applyFont="1" applyFill="1"/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0" borderId="0" xfId="0"/>
    <xf numFmtId="0" fontId="3" fillId="8" borderId="16" xfId="0" applyFont="1" applyFill="1" applyBorder="1" applyAlignment="1">
      <alignment vertical="top" wrapText="1"/>
    </xf>
    <xf numFmtId="0" fontId="0" fillId="0" borderId="9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7" borderId="15" xfId="0" applyFont="1" applyFill="1" applyBorder="1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2">
    <dxf>
      <font>
        <color rgb="FF92400E"/>
      </font>
      <fill>
        <patternFill>
          <bgColor rgb="FFFEF3C7"/>
        </patternFill>
      </fill>
    </dxf>
    <dxf>
      <font>
        <color rgb="FF166534"/>
      </font>
      <fill>
        <patternFill>
          <bgColor rgb="FFDDF4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STMachinesToPort" displayName="TSTMachinesToPort" ref="A4:N29" totalsRowShown="0">
  <autoFilter ref="A4:N29" xr:uid="{00000000-0009-0000-0100-000001000000}"/>
  <tableColumns count="14">
    <tableColumn id="1" xr3:uid="{00000000-0010-0000-0000-000001000000}" name="STT"/>
    <tableColumn id="2" xr3:uid="{00000000-0010-0000-0000-000002000000}" name="Máy / controller"/>
    <tableColumn id="3" xr3:uid="{00000000-0010-0000-0000-000003000000}" name="Class"/>
    <tableColumn id="4" xr3:uid="{00000000-0010-0000-0000-000004000000}" name="Mốc mở khóa ước tính"/>
    <tableColumn id="5" xr3:uid="{00000000-0010-0000-0000-000005000000}" name="Meta ID"/>
    <tableColumn id="6" xr3:uid="{00000000-0010-0000-0000-000006000000}" name="Chức năng"/>
    <tableColumn id="7" xr3:uid="{00000000-0010-0000-0000-000007000000}" name="Recipe map / logic TST"/>
    <tableColumn id="8" xr3:uid="{00000000-0010-0000-0000-000008000000}" name="Cấu trúc"/>
    <tableColumn id="9" xr3:uid="{00000000-0010-0000-0000-000009000000}" name="Class path"/>
    <tableColumn id="10" xr3:uid="{00000000-0010-0000-0000-00000A000000}" name="Recipe controller path"/>
    <tableColumn id="11" xr3:uid="{00000000-0010-0000-0000-00000B000000}" name="URL class"/>
    <tableColumn id="12" xr3:uid="{00000000-0010-0000-0000-00000C000000}" name="URL recipe"/>
    <tableColumn id="13" xr3:uid="{00000000-0010-0000-0000-00000D000000}" name="Confidence"/>
    <tableColumn id="14" xr3:uid="{00000000-0010-0000-0000-00000E000000}" name="Ghi chú quyết định"/>
  </tableColumns>
  <tableStyleInfo name="Danh sách máy-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TCEuPortBacklog" displayName="GTCEuPortBacklog" ref="A4:J29" totalsRowShown="0">
  <autoFilter ref="A4:J29" xr:uid="{00000000-0009-0000-0100-000002000000}"/>
  <tableColumns count="10">
    <tableColumn id="1" xr3:uid="{00000000-0010-0000-0100-000001000000}" name="STT"/>
    <tableColumn id="2" xr3:uid="{00000000-0010-0000-0100-000002000000}" name="Máy TST"/>
    <tableColumn id="3" xr3:uid="{00000000-0010-0000-0100-000003000000}" name="Tier"/>
    <tableColumn id="4" xr3:uid="{00000000-0010-0000-0100-000004000000}" name="Mục tiêu gameplay"/>
    <tableColumn id="5" xr3:uid="{00000000-0010-0000-0100-000005000000}" name="Mapping/kiến trúc GTCEu đề xuất"/>
    <tableColumn id="6" xr3:uid="{00000000-0010-0000-0100-000006000000}" name="Độ phức tạp"/>
    <tableColumn id="7" xr3:uid="{00000000-0010-0000-0100-000007000000}" name="Trạng thái"/>
    <tableColumn id="8" xr3:uid="{00000000-0010-0000-0100-000008000000}" name="Owner"/>
    <tableColumn id="9" xr3:uid="{00000000-0010-0000-0100-000009000000}" name="Rủi ro chính"/>
    <tableColumn id="10" xr3:uid="{00000000-0010-0000-0100-00000A000000}" name="Điểm bắt đầu code"/>
  </tableColumns>
  <tableStyleInfo name="Mapping GTCEu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cludedGTCEuOverlap" displayName="ExcludedGTCEuOverlap" ref="A4:K33">
  <tableColumns count="11">
    <tableColumn id="1" xr3:uid="{00000000-0010-0000-0200-000001000000}" name="STT"/>
    <tableColumn id="2" xr3:uid="{00000000-0010-0000-0200-000002000000}" name="Máy TST"/>
    <tableColumn id="3" xr3:uid="{00000000-0010-0000-0200-000003000000}" name="Tier/controller gate"/>
    <tableColumn id="4" xr3:uid="{00000000-0010-0000-0200-000004000000}" name="Class TST"/>
    <tableColumn id="5" xr3:uid="{00000000-0010-0000-0200-000005000000}" name="Large machine GTCEu thay thế"/>
    <tableColumn id="6" xr3:uid="{00000000-0010-0000-0200-000006000000}" name="Logic chung"/>
    <tableColumn id="7" xr3:uid="{00000000-0010-0000-0200-000007000000}" name="Khuyến nghị"/>
    <tableColumn id="8" xr3:uid="{00000000-0010-0000-0200-000008000000}" name="Bằng chứng TST"/>
    <tableColumn id="9" xr3:uid="{00000000-0010-0000-0200-000009000000}" name="Bằng chứng GTCEu"/>
    <tableColumn id="10" xr3:uid="{00000000-0010-0000-0200-00000A000000}" name="URL TST"/>
    <tableColumn id="11" xr3:uid="{00000000-0010-0000-0200-00000B000000}" name="URL GTCEu"/>
  </tableColumns>
  <tableStyleInfo name="Đối chiếu large_machine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utsideZPMScope" displayName="OutsideZPMScope" ref="A4:H28">
  <tableColumns count="8">
    <tableColumn id="1" xr3:uid="{00000000-0010-0000-0300-000001000000}" name="STT"/>
    <tableColumn id="2" xr3:uid="{00000000-0010-0000-0300-000002000000}" name="Máy / controller"/>
    <tableColumn id="3" xr3:uid="{00000000-0010-0000-0300-000003000000}" name="Class"/>
    <tableColumn id="4" xr3:uid="{00000000-0010-0000-0300-000004000000}" name="Meta ID"/>
    <tableColumn id="5" xr3:uid="{00000000-0010-0000-0300-000005000000}" name="Lý do loại phạm vi"/>
    <tableColumn id="6" xr3:uid="{00000000-0010-0000-0300-000006000000}" name="Class path"/>
    <tableColumn id="7" xr3:uid="{00000000-0010-0000-0300-000007000000}" name="MachineLoader line"/>
    <tableColumn id="8" xr3:uid="{00000000-0010-0000-0300-000008000000}" name="URL class"/>
  </tableColumns>
  <tableStyleInfo name="Ngoài phạm vi ZPM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TCEuCodeReferences" displayName="GTCEuCodeReferences" ref="A4:F14">
  <tableColumns count="6">
    <tableColumn id="1" xr3:uid="{00000000-0010-0000-0400-000001000000}" name="Chủ đề"/>
    <tableColumn id="2" xr3:uid="{00000000-0010-0000-0400-000002000000}" name="Class/API/registry"/>
    <tableColumn id="3" xr3:uid="{00000000-0010-0000-0400-000003000000}" name="Path trong GregTech Modern"/>
    <tableColumn id="4" xr3:uid="{00000000-0010-0000-0400-000004000000}" name="Cách dùng khi port"/>
    <tableColumn id="5" xr3:uid="{00000000-0010-0000-0400-000005000000}" name="URL source"/>
    <tableColumn id="6" xr3:uid="{00000000-0010-0000-0400-000006000000}" name="Ghi chú"/>
  </tableColumns>
  <tableStyleInfo name="GTCEu API tham chiế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sqref="A1:H1"/>
    </sheetView>
  </sheetViews>
  <sheetFormatPr defaultColWidth="12.625" defaultRowHeight="14.25"/>
  <cols>
    <col min="1" max="1" width="31" style="48" customWidth="1"/>
    <col min="2" max="2" width="16" style="48" customWidth="1"/>
    <col min="3" max="3" width="3" style="48" customWidth="1"/>
    <col min="4" max="4" width="17" style="48" customWidth="1"/>
    <col min="5" max="5" width="14" style="48" customWidth="1"/>
    <col min="6" max="6" width="16" style="48" customWidth="1"/>
    <col min="7" max="7" width="36" style="48" customWidth="1"/>
    <col min="8" max="8" width="30" style="48" customWidth="1"/>
    <col min="9" max="26" width="8.625" style="48" customWidth="1"/>
  </cols>
  <sheetData>
    <row r="1" spans="1:8" ht="36" customHeight="1">
      <c r="A1" s="58" t="s">
        <v>0</v>
      </c>
      <c r="B1" s="50"/>
      <c r="C1" s="50"/>
      <c r="D1" s="50"/>
      <c r="E1" s="50"/>
      <c r="F1" s="50"/>
      <c r="G1" s="50"/>
      <c r="H1" s="50"/>
    </row>
    <row r="2" spans="1:8" ht="31.5" customHeight="1">
      <c r="A2" s="49" t="s">
        <v>1</v>
      </c>
      <c r="B2" s="50"/>
      <c r="C2" s="50"/>
      <c r="D2" s="50"/>
      <c r="E2" s="50"/>
      <c r="F2" s="50"/>
      <c r="G2" s="50"/>
      <c r="H2" s="50"/>
    </row>
    <row r="3" spans="1:8">
      <c r="A3" s="1"/>
      <c r="B3" s="1"/>
      <c r="C3" s="1"/>
      <c r="D3" s="1"/>
      <c r="E3" s="1"/>
      <c r="F3" s="1"/>
      <c r="G3" s="1"/>
      <c r="H3" s="1"/>
    </row>
    <row r="4" spans="1:8" ht="33.75" customHeight="1">
      <c r="A4" s="2" t="s">
        <v>2</v>
      </c>
      <c r="B4" s="3" t="s">
        <v>3</v>
      </c>
      <c r="C4" s="4"/>
      <c r="D4" s="5" t="s">
        <v>4</v>
      </c>
      <c r="E4" s="6" t="s">
        <v>5</v>
      </c>
      <c r="F4" s="6" t="s">
        <v>6</v>
      </c>
      <c r="G4" s="6" t="s">
        <v>7</v>
      </c>
      <c r="H4" s="7" t="s">
        <v>8</v>
      </c>
    </row>
    <row r="5" spans="1:8">
      <c r="A5" s="8" t="s">
        <v>9</v>
      </c>
      <c r="B5" s="1">
        <f>B6+B9+B11</f>
        <v>78</v>
      </c>
      <c r="C5" s="1"/>
      <c r="D5" s="1" t="s">
        <v>10</v>
      </c>
      <c r="E5" s="1">
        <f>COUNTIF('Danh sách máy'!$D$5:$D$29,D5)</f>
        <v>2</v>
      </c>
      <c r="F5" s="1" t="s">
        <v>11</v>
      </c>
      <c r="G5" s="1" t="s">
        <v>12</v>
      </c>
      <c r="H5" s="10" t="s">
        <v>13</v>
      </c>
    </row>
    <row r="6" spans="1:8">
      <c r="A6" s="8" t="s">
        <v>14</v>
      </c>
      <c r="B6" s="1">
        <f>B7+B8</f>
        <v>52</v>
      </c>
      <c r="C6" s="1"/>
      <c r="D6" s="1" t="s">
        <v>15</v>
      </c>
      <c r="E6" s="1">
        <f>COUNTIF('Danh sách máy'!$D$5:$D$29,D6)</f>
        <v>1</v>
      </c>
      <c r="F6" s="1" t="s">
        <v>11</v>
      </c>
      <c r="G6" s="1" t="s">
        <v>16</v>
      </c>
      <c r="H6" s="10" t="s">
        <v>13</v>
      </c>
    </row>
    <row r="7" spans="1:8">
      <c r="A7" s="8" t="s">
        <v>17</v>
      </c>
      <c r="B7" s="1">
        <v>26</v>
      </c>
      <c r="C7" s="1"/>
      <c r="D7" s="1" t="s">
        <v>18</v>
      </c>
      <c r="E7" s="1">
        <f>COUNTIF('Danh sách máy'!$D$5:$D$29,D7)</f>
        <v>2</v>
      </c>
      <c r="F7" s="1" t="s">
        <v>11</v>
      </c>
      <c r="G7" s="1" t="s">
        <v>19</v>
      </c>
      <c r="H7" s="10" t="s">
        <v>13</v>
      </c>
    </row>
    <row r="8" spans="1:8">
      <c r="A8" s="8" t="s">
        <v>20</v>
      </c>
      <c r="B8" s="1">
        <f>COUNTA('Đối chiếu large_machine'!B5:B30)</f>
        <v>26</v>
      </c>
      <c r="C8" s="1"/>
      <c r="D8" s="1" t="s">
        <v>21</v>
      </c>
      <c r="E8" s="1">
        <f>COUNTIF('Danh sách máy'!$D$5:$D$29,D8)</f>
        <v>6</v>
      </c>
      <c r="F8" s="1" t="s">
        <v>22</v>
      </c>
      <c r="G8" s="1" t="s">
        <v>23</v>
      </c>
      <c r="H8" s="10" t="s">
        <v>13</v>
      </c>
    </row>
    <row r="9" spans="1:8">
      <c r="A9" s="8" t="s">
        <v>24</v>
      </c>
      <c r="B9" s="1">
        <f>COUNTA('Ngoài phạm vi ZPM'!B5:B27)</f>
        <v>23</v>
      </c>
      <c r="C9" s="1"/>
      <c r="D9" s="1" t="s">
        <v>25</v>
      </c>
      <c r="E9" s="1">
        <f>COUNTIF('Danh sách máy'!$D$5:$D$29,D9)</f>
        <v>3</v>
      </c>
      <c r="F9" s="1" t="s">
        <v>22</v>
      </c>
      <c r="G9" s="1" t="s">
        <v>26</v>
      </c>
      <c r="H9" s="10" t="s">
        <v>13</v>
      </c>
    </row>
    <row r="10" spans="1:8">
      <c r="A10" s="8" t="s">
        <v>27</v>
      </c>
      <c r="B10" s="15">
        <f>B8/B6</f>
        <v>0.5</v>
      </c>
      <c r="C10" s="1"/>
      <c r="D10" s="1" t="s">
        <v>28</v>
      </c>
      <c r="E10" s="1">
        <f>COUNTIF('Danh sách máy'!$D$5:$D$29,D10)</f>
        <v>4</v>
      </c>
      <c r="F10" s="1" t="s">
        <v>22</v>
      </c>
      <c r="G10" s="1" t="s">
        <v>29</v>
      </c>
      <c r="H10" s="10" t="s">
        <v>13</v>
      </c>
    </row>
    <row r="11" spans="1:8">
      <c r="A11" s="8" t="s">
        <v>30</v>
      </c>
      <c r="B11" s="1">
        <v>3</v>
      </c>
      <c r="C11" s="1"/>
      <c r="D11" s="1" t="s">
        <v>31</v>
      </c>
      <c r="E11" s="1">
        <f>COUNTIF('Danh sách máy'!$D$5:$D$29,D11)</f>
        <v>5</v>
      </c>
      <c r="F11" s="1" t="s">
        <v>22</v>
      </c>
      <c r="G11" s="1" t="s">
        <v>32</v>
      </c>
      <c r="H11" s="10" t="s">
        <v>13</v>
      </c>
    </row>
    <row r="12" spans="1:8">
      <c r="A12" s="8"/>
      <c r="B12" s="1"/>
      <c r="C12" s="1"/>
      <c r="D12" s="1" t="s">
        <v>33</v>
      </c>
      <c r="E12" s="1">
        <f>COUNTIF('Danh sách máy'!$D$5:$D$29,D12)</f>
        <v>1</v>
      </c>
      <c r="F12" s="1" t="s">
        <v>22</v>
      </c>
      <c r="G12" s="1" t="s">
        <v>34</v>
      </c>
      <c r="H12" s="10" t="s">
        <v>13</v>
      </c>
    </row>
    <row r="13" spans="1:8">
      <c r="A13" s="8"/>
      <c r="B13" s="1"/>
      <c r="C13" s="1"/>
      <c r="D13" s="1"/>
      <c r="E13" s="1"/>
      <c r="F13" s="1"/>
      <c r="G13" s="1"/>
      <c r="H13" s="10"/>
    </row>
    <row r="14" spans="1:8">
      <c r="A14" s="57" t="s">
        <v>35</v>
      </c>
      <c r="B14" s="50"/>
      <c r="C14" s="50"/>
      <c r="D14" s="50"/>
      <c r="E14" s="50"/>
      <c r="F14" s="50"/>
      <c r="G14" s="50"/>
      <c r="H14" s="52"/>
    </row>
    <row r="15" spans="1:8" ht="24" customHeight="1">
      <c r="A15" s="51" t="s">
        <v>36</v>
      </c>
      <c r="B15" s="50"/>
      <c r="C15" s="50"/>
      <c r="D15" s="50"/>
      <c r="E15" s="50"/>
      <c r="F15" s="50"/>
      <c r="G15" s="50"/>
      <c r="H15" s="52"/>
    </row>
    <row r="16" spans="1:8" ht="24" customHeight="1">
      <c r="A16" s="53"/>
      <c r="B16" s="50"/>
      <c r="C16" s="50"/>
      <c r="D16" s="50"/>
      <c r="E16" s="50"/>
      <c r="F16" s="50"/>
      <c r="G16" s="50"/>
      <c r="H16" s="52"/>
    </row>
    <row r="17" spans="1:8" ht="24" customHeight="1">
      <c r="A17" s="53"/>
      <c r="B17" s="50"/>
      <c r="C17" s="50"/>
      <c r="D17" s="50"/>
      <c r="E17" s="50"/>
      <c r="F17" s="50"/>
      <c r="G17" s="50"/>
      <c r="H17" s="52"/>
    </row>
    <row r="18" spans="1:8" ht="24" customHeight="1">
      <c r="A18" s="53"/>
      <c r="B18" s="50"/>
      <c r="C18" s="50"/>
      <c r="D18" s="50"/>
      <c r="E18" s="50"/>
      <c r="F18" s="50"/>
      <c r="G18" s="50"/>
      <c r="H18" s="52"/>
    </row>
    <row r="19" spans="1:8" ht="24" customHeight="1">
      <c r="A19" s="54"/>
      <c r="B19" s="55"/>
      <c r="C19" s="55"/>
      <c r="D19" s="55"/>
      <c r="E19" s="55"/>
      <c r="F19" s="55"/>
      <c r="G19" s="55"/>
      <c r="H19" s="56"/>
    </row>
    <row r="21" spans="1:8" ht="15.75" customHeight="1"/>
    <row r="22" spans="1:8" ht="15.7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H2"/>
    <mergeCell ref="A15:H19"/>
    <mergeCell ref="A14:H14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topLeftCell="A9" workbookViewId="0">
      <selection activeCell="A13" sqref="A13:XFD13"/>
    </sheetView>
  </sheetViews>
  <sheetFormatPr defaultColWidth="12.625" defaultRowHeight="14.25"/>
  <cols>
    <col min="1" max="1" width="6" style="48" customWidth="1"/>
    <col min="2" max="2" width="34" style="48" customWidth="1"/>
    <col min="3" max="3" width="38" style="48" customWidth="1"/>
    <col min="4" max="4" width="20" style="48" customWidth="1"/>
    <col min="5" max="5" width="10" style="48" customWidth="1"/>
    <col min="6" max="6" width="30" style="48" customWidth="1"/>
    <col min="7" max="7" width="38" style="48" customWidth="1"/>
    <col min="8" max="8" width="29" style="48" customWidth="1"/>
    <col min="9" max="9" width="54" style="48" customWidth="1"/>
    <col min="10" max="10" width="58" style="48" customWidth="1"/>
    <col min="11" max="12" width="46" style="48" customWidth="1"/>
    <col min="13" max="13" width="12" style="48" customWidth="1"/>
    <col min="14" max="14" width="46" style="48" customWidth="1"/>
    <col min="15" max="26" width="8.625" style="48" customWidth="1"/>
  </cols>
  <sheetData>
    <row r="1" spans="1:26" ht="36" customHeight="1">
      <c r="A1" s="58" t="s">
        <v>37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</row>
    <row r="2" spans="1:26" ht="31.5" customHeight="1">
      <c r="A2" s="49" t="s">
        <v>38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6" ht="33.75" customHeight="1">
      <c r="A4" s="9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  <c r="K4" s="11" t="s">
        <v>49</v>
      </c>
      <c r="L4" s="11" t="s">
        <v>50</v>
      </c>
      <c r="M4" s="11" t="s">
        <v>51</v>
      </c>
      <c r="N4" s="12" t="s">
        <v>52</v>
      </c>
    </row>
    <row r="5" spans="1:26" s="28" customFormat="1" ht="51" customHeight="1">
      <c r="A5" s="31">
        <v>1</v>
      </c>
      <c r="B5" s="32" t="s">
        <v>53</v>
      </c>
      <c r="C5" s="32" t="s">
        <v>54</v>
      </c>
      <c r="D5" s="31" t="s">
        <v>10</v>
      </c>
      <c r="E5" s="31">
        <v>19065</v>
      </c>
      <c r="F5" s="32" t="s">
        <v>55</v>
      </c>
      <c r="G5" s="32" t="s">
        <v>56</v>
      </c>
      <c r="H5" s="32" t="s">
        <v>57</v>
      </c>
      <c r="I5" s="32" t="s">
        <v>58</v>
      </c>
      <c r="J5" s="32" t="s">
        <v>59</v>
      </c>
      <c r="K5" s="32" t="s">
        <v>60</v>
      </c>
      <c r="L5" s="32" t="s">
        <v>61</v>
      </c>
      <c r="M5" s="31" t="s">
        <v>62</v>
      </c>
      <c r="N5" s="32" t="s">
        <v>63</v>
      </c>
    </row>
    <row r="6" spans="1:26" s="28" customFormat="1" ht="51" customHeight="1">
      <c r="A6" s="31">
        <v>2</v>
      </c>
      <c r="B6" s="32" t="s">
        <v>64</v>
      </c>
      <c r="C6" s="32" t="s">
        <v>65</v>
      </c>
      <c r="D6" s="31" t="s">
        <v>10</v>
      </c>
      <c r="E6" s="31">
        <v>19077</v>
      </c>
      <c r="F6" s="32" t="s">
        <v>66</v>
      </c>
      <c r="G6" s="32" t="s">
        <v>67</v>
      </c>
      <c r="H6" s="32" t="s">
        <v>57</v>
      </c>
      <c r="I6" s="32" t="s">
        <v>68</v>
      </c>
      <c r="J6" s="32" t="s">
        <v>69</v>
      </c>
      <c r="K6" s="32" t="s">
        <v>70</v>
      </c>
      <c r="L6" s="32" t="s">
        <v>71</v>
      </c>
      <c r="M6" s="31" t="s">
        <v>62</v>
      </c>
      <c r="N6" s="32" t="s">
        <v>63</v>
      </c>
    </row>
    <row r="7" spans="1:26" s="41" customFormat="1" ht="51" customHeight="1">
      <c r="A7" s="39">
        <v>3</v>
      </c>
      <c r="B7" s="40" t="s">
        <v>72</v>
      </c>
      <c r="C7" s="40" t="s">
        <v>73</v>
      </c>
      <c r="D7" s="39" t="s">
        <v>15</v>
      </c>
      <c r="E7" s="39">
        <v>19069</v>
      </c>
      <c r="F7" s="40" t="s">
        <v>74</v>
      </c>
      <c r="G7" s="40" t="s">
        <v>75</v>
      </c>
      <c r="H7" s="40" t="s">
        <v>57</v>
      </c>
      <c r="I7" s="40" t="s">
        <v>76</v>
      </c>
      <c r="J7" s="40" t="s">
        <v>77</v>
      </c>
      <c r="K7" s="40" t="s">
        <v>78</v>
      </c>
      <c r="L7" s="40" t="s">
        <v>79</v>
      </c>
      <c r="M7" s="39" t="s">
        <v>62</v>
      </c>
      <c r="N7" s="40" t="s">
        <v>63</v>
      </c>
    </row>
    <row r="8" spans="1:26" s="41" customFormat="1" ht="51" customHeight="1">
      <c r="A8" s="42">
        <v>4</v>
      </c>
      <c r="B8" s="43" t="s">
        <v>80</v>
      </c>
      <c r="C8" s="43" t="s">
        <v>81</v>
      </c>
      <c r="D8" s="42" t="s">
        <v>18</v>
      </c>
      <c r="E8" s="42">
        <v>19051</v>
      </c>
      <c r="F8" s="43" t="s">
        <v>82</v>
      </c>
      <c r="G8" s="43" t="s">
        <v>83</v>
      </c>
      <c r="H8" s="43" t="s">
        <v>57</v>
      </c>
      <c r="I8" s="43" t="s">
        <v>84</v>
      </c>
      <c r="J8" s="43" t="s">
        <v>85</v>
      </c>
      <c r="K8" s="43" t="s">
        <v>86</v>
      </c>
      <c r="L8" s="43" t="s">
        <v>87</v>
      </c>
      <c r="M8" s="42" t="s">
        <v>62</v>
      </c>
      <c r="N8" s="43" t="s">
        <v>63</v>
      </c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s="41" customFormat="1" ht="51" customHeight="1">
      <c r="A9" s="42">
        <v>5</v>
      </c>
      <c r="B9" s="43" t="s">
        <v>88</v>
      </c>
      <c r="C9" s="43" t="s">
        <v>89</v>
      </c>
      <c r="D9" s="42" t="s">
        <v>21</v>
      </c>
      <c r="E9" s="42">
        <v>19041</v>
      </c>
      <c r="F9" s="43" t="s">
        <v>90</v>
      </c>
      <c r="G9" s="43" t="s">
        <v>91</v>
      </c>
      <c r="H9" s="43" t="s">
        <v>57</v>
      </c>
      <c r="I9" s="43" t="s">
        <v>92</v>
      </c>
      <c r="J9" s="43" t="s">
        <v>93</v>
      </c>
      <c r="K9" s="43" t="s">
        <v>94</v>
      </c>
      <c r="L9" s="43" t="s">
        <v>95</v>
      </c>
      <c r="M9" s="42" t="s">
        <v>62</v>
      </c>
      <c r="N9" s="43" t="s">
        <v>63</v>
      </c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s="47" customFormat="1" ht="51" customHeight="1">
      <c r="A10" s="42">
        <v>6</v>
      </c>
      <c r="B10" s="43" t="s">
        <v>96</v>
      </c>
      <c r="C10" s="43" t="s">
        <v>97</v>
      </c>
      <c r="D10" s="42" t="s">
        <v>21</v>
      </c>
      <c r="E10" s="42">
        <v>19058</v>
      </c>
      <c r="F10" s="43" t="s">
        <v>98</v>
      </c>
      <c r="G10" s="43" t="s">
        <v>99</v>
      </c>
      <c r="H10" s="43" t="s">
        <v>57</v>
      </c>
      <c r="I10" s="43" t="s">
        <v>100</v>
      </c>
      <c r="J10" s="43" t="s">
        <v>101</v>
      </c>
      <c r="K10" s="43" t="s">
        <v>102</v>
      </c>
      <c r="L10" s="43" t="s">
        <v>103</v>
      </c>
      <c r="M10" s="42" t="s">
        <v>62</v>
      </c>
      <c r="N10" s="43" t="s">
        <v>63</v>
      </c>
    </row>
    <row r="11" spans="1:26" ht="63.75" customHeight="1">
      <c r="A11" s="31">
        <v>7</v>
      </c>
      <c r="B11" s="32" t="s">
        <v>104</v>
      </c>
      <c r="C11" s="32" t="s">
        <v>105</v>
      </c>
      <c r="D11" s="31" t="s">
        <v>21</v>
      </c>
      <c r="E11" s="31">
        <v>19062</v>
      </c>
      <c r="F11" s="32" t="s">
        <v>106</v>
      </c>
      <c r="G11" s="32" t="s">
        <v>107</v>
      </c>
      <c r="H11" s="32" t="s">
        <v>57</v>
      </c>
      <c r="I11" s="32" t="s">
        <v>108</v>
      </c>
      <c r="J11" s="32" t="s">
        <v>109</v>
      </c>
      <c r="K11" s="32" t="s">
        <v>110</v>
      </c>
      <c r="L11" s="32" t="s">
        <v>111</v>
      </c>
      <c r="M11" s="31" t="s">
        <v>62</v>
      </c>
      <c r="N11" s="32" t="s">
        <v>112</v>
      </c>
    </row>
    <row r="12" spans="1:26" s="41" customFormat="1" ht="51" customHeight="1">
      <c r="A12" s="42">
        <v>8</v>
      </c>
      <c r="B12" s="43" t="s">
        <v>113</v>
      </c>
      <c r="C12" s="43" t="s">
        <v>114</v>
      </c>
      <c r="D12" s="42" t="s">
        <v>25</v>
      </c>
      <c r="E12" s="42">
        <v>19055</v>
      </c>
      <c r="F12" s="43" t="s">
        <v>115</v>
      </c>
      <c r="G12" s="43" t="s">
        <v>116</v>
      </c>
      <c r="H12" s="43" t="s">
        <v>57</v>
      </c>
      <c r="I12" s="43" t="s">
        <v>117</v>
      </c>
      <c r="J12" s="43" t="s">
        <v>118</v>
      </c>
      <c r="K12" s="43" t="s">
        <v>119</v>
      </c>
      <c r="L12" s="43" t="s">
        <v>120</v>
      </c>
      <c r="M12" s="42" t="s">
        <v>62</v>
      </c>
      <c r="N12" s="43" t="s">
        <v>63</v>
      </c>
    </row>
    <row r="13" spans="1:26" s="41" customFormat="1" ht="51" customHeight="1">
      <c r="A13" s="42">
        <v>9</v>
      </c>
      <c r="B13" s="43" t="s">
        <v>121</v>
      </c>
      <c r="C13" s="43" t="s">
        <v>122</v>
      </c>
      <c r="D13" s="42" t="s">
        <v>25</v>
      </c>
      <c r="E13" s="42">
        <v>19081</v>
      </c>
      <c r="F13" s="43" t="s">
        <v>123</v>
      </c>
      <c r="G13" s="43" t="s">
        <v>124</v>
      </c>
      <c r="H13" s="43" t="s">
        <v>57</v>
      </c>
      <c r="I13" s="43" t="s">
        <v>125</v>
      </c>
      <c r="J13" s="43" t="s">
        <v>126</v>
      </c>
      <c r="K13" s="43" t="s">
        <v>127</v>
      </c>
      <c r="L13" s="43" t="s">
        <v>128</v>
      </c>
      <c r="M13" s="42" t="s">
        <v>62</v>
      </c>
      <c r="N13" s="43" t="s">
        <v>63</v>
      </c>
    </row>
    <row r="14" spans="1:26" ht="51" customHeight="1">
      <c r="A14" s="42">
        <v>10</v>
      </c>
      <c r="B14" s="43" t="s">
        <v>129</v>
      </c>
      <c r="C14" s="43" t="s">
        <v>130</v>
      </c>
      <c r="D14" s="42" t="s">
        <v>21</v>
      </c>
      <c r="E14" s="42">
        <v>15536</v>
      </c>
      <c r="F14" s="43" t="s">
        <v>131</v>
      </c>
      <c r="G14" s="43" t="s">
        <v>132</v>
      </c>
      <c r="H14" s="43" t="s">
        <v>133</v>
      </c>
      <c r="I14" s="43" t="s">
        <v>134</v>
      </c>
      <c r="J14" s="43" t="s">
        <v>135</v>
      </c>
      <c r="K14" s="43"/>
      <c r="L14" s="43"/>
      <c r="M14" s="42" t="s">
        <v>62</v>
      </c>
      <c r="N14" s="43" t="s">
        <v>136</v>
      </c>
    </row>
    <row r="15" spans="1:26" ht="51" customHeight="1">
      <c r="A15" s="29">
        <v>11</v>
      </c>
      <c r="B15" s="30" t="s">
        <v>137</v>
      </c>
      <c r="C15" s="30" t="s">
        <v>138</v>
      </c>
      <c r="D15" s="29" t="s">
        <v>28</v>
      </c>
      <c r="E15" s="29">
        <v>19013</v>
      </c>
      <c r="F15" s="30" t="s">
        <v>139</v>
      </c>
      <c r="G15" s="30" t="s">
        <v>140</v>
      </c>
      <c r="H15" s="30" t="s">
        <v>57</v>
      </c>
      <c r="I15" s="30" t="s">
        <v>141</v>
      </c>
      <c r="J15" s="30" t="s">
        <v>142</v>
      </c>
      <c r="K15" s="30" t="s">
        <v>143</v>
      </c>
      <c r="L15" s="30" t="s">
        <v>144</v>
      </c>
      <c r="M15" s="29" t="s">
        <v>62</v>
      </c>
      <c r="N15" s="30" t="s">
        <v>63</v>
      </c>
    </row>
    <row r="16" spans="1:26" ht="51" customHeight="1">
      <c r="A16" s="29">
        <v>12</v>
      </c>
      <c r="B16" s="30" t="s">
        <v>145</v>
      </c>
      <c r="C16" s="30" t="s">
        <v>146</v>
      </c>
      <c r="D16" s="29" t="s">
        <v>28</v>
      </c>
      <c r="E16" s="29">
        <v>19014</v>
      </c>
      <c r="F16" s="30" t="s">
        <v>147</v>
      </c>
      <c r="G16" s="30" t="s">
        <v>148</v>
      </c>
      <c r="H16" s="30" t="s">
        <v>57</v>
      </c>
      <c r="I16" s="30" t="s">
        <v>149</v>
      </c>
      <c r="J16" s="30" t="s">
        <v>150</v>
      </c>
      <c r="K16" s="30" t="s">
        <v>151</v>
      </c>
      <c r="L16" s="30" t="s">
        <v>152</v>
      </c>
      <c r="M16" s="29" t="s">
        <v>62</v>
      </c>
      <c r="N16" s="30" t="s">
        <v>63</v>
      </c>
    </row>
    <row r="17" spans="1:26" ht="51" customHeight="1">
      <c r="A17" s="29">
        <v>13</v>
      </c>
      <c r="B17" s="30" t="s">
        <v>153</v>
      </c>
      <c r="C17" s="30" t="s">
        <v>154</v>
      </c>
      <c r="D17" s="29" t="s">
        <v>28</v>
      </c>
      <c r="E17" s="29">
        <v>19060</v>
      </c>
      <c r="F17" s="30" t="s">
        <v>155</v>
      </c>
      <c r="G17" s="30" t="s">
        <v>156</v>
      </c>
      <c r="H17" s="30" t="s">
        <v>57</v>
      </c>
      <c r="I17" s="30" t="s">
        <v>157</v>
      </c>
      <c r="J17" s="30" t="s">
        <v>158</v>
      </c>
      <c r="K17" s="30" t="s">
        <v>159</v>
      </c>
      <c r="L17" s="30" t="s">
        <v>160</v>
      </c>
      <c r="M17" s="29" t="s">
        <v>62</v>
      </c>
      <c r="N17" s="30" t="s">
        <v>63</v>
      </c>
    </row>
    <row r="18" spans="1:26" ht="51" customHeight="1">
      <c r="A18" s="29">
        <v>14</v>
      </c>
      <c r="B18" s="30" t="s">
        <v>161</v>
      </c>
      <c r="C18" s="30" t="s">
        <v>162</v>
      </c>
      <c r="D18" s="29" t="s">
        <v>28</v>
      </c>
      <c r="E18" s="29">
        <v>19003</v>
      </c>
      <c r="F18" s="30" t="s">
        <v>163</v>
      </c>
      <c r="G18" s="30" t="s">
        <v>164</v>
      </c>
      <c r="H18" s="30" t="s">
        <v>57</v>
      </c>
      <c r="I18" s="30" t="s">
        <v>165</v>
      </c>
      <c r="J18" s="30" t="s">
        <v>166</v>
      </c>
      <c r="K18" s="30" t="s">
        <v>167</v>
      </c>
      <c r="L18" s="30" t="s">
        <v>168</v>
      </c>
      <c r="M18" s="29" t="s">
        <v>62</v>
      </c>
      <c r="N18" s="30" t="s">
        <v>63</v>
      </c>
    </row>
    <row r="19" spans="1:26" ht="51" customHeight="1">
      <c r="A19" s="29">
        <v>15</v>
      </c>
      <c r="B19" s="30" t="s">
        <v>169</v>
      </c>
      <c r="C19" s="30" t="s">
        <v>170</v>
      </c>
      <c r="D19" s="29" t="s">
        <v>31</v>
      </c>
      <c r="E19" s="29">
        <v>19015</v>
      </c>
      <c r="F19" s="30" t="s">
        <v>171</v>
      </c>
      <c r="G19" s="30" t="s">
        <v>172</v>
      </c>
      <c r="H19" s="30" t="s">
        <v>57</v>
      </c>
      <c r="I19" s="30" t="s">
        <v>173</v>
      </c>
      <c r="J19" s="30" t="s">
        <v>174</v>
      </c>
      <c r="K19" s="30" t="s">
        <v>175</v>
      </c>
      <c r="L19" s="30" t="s">
        <v>176</v>
      </c>
      <c r="M19" s="29" t="s">
        <v>62</v>
      </c>
      <c r="N19" s="30" t="s">
        <v>63</v>
      </c>
    </row>
    <row r="20" spans="1:26" ht="63.75" customHeight="1">
      <c r="A20" s="29">
        <v>16</v>
      </c>
      <c r="B20" s="30" t="s">
        <v>177</v>
      </c>
      <c r="C20" s="30" t="s">
        <v>178</v>
      </c>
      <c r="D20" s="29" t="s">
        <v>31</v>
      </c>
      <c r="E20" s="29">
        <v>19038</v>
      </c>
      <c r="F20" s="30" t="s">
        <v>179</v>
      </c>
      <c r="G20" s="30" t="s">
        <v>180</v>
      </c>
      <c r="H20" s="30" t="s">
        <v>57</v>
      </c>
      <c r="I20" s="30" t="s">
        <v>181</v>
      </c>
      <c r="J20" s="30" t="s">
        <v>182</v>
      </c>
      <c r="K20" s="30" t="s">
        <v>183</v>
      </c>
      <c r="L20" s="30" t="s">
        <v>184</v>
      </c>
      <c r="M20" s="29" t="s">
        <v>62</v>
      </c>
      <c r="N20" s="30" t="s">
        <v>63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51" customHeight="1">
      <c r="A21" s="29">
        <v>17</v>
      </c>
      <c r="B21" s="30" t="s">
        <v>185</v>
      </c>
      <c r="C21" s="30" t="s">
        <v>186</v>
      </c>
      <c r="D21" s="29" t="s">
        <v>31</v>
      </c>
      <c r="E21" s="29">
        <v>19054</v>
      </c>
      <c r="F21" s="30" t="s">
        <v>187</v>
      </c>
      <c r="G21" s="30" t="s">
        <v>188</v>
      </c>
      <c r="H21" s="30" t="s">
        <v>57</v>
      </c>
      <c r="I21" s="30" t="s">
        <v>189</v>
      </c>
      <c r="J21" s="30" t="s">
        <v>190</v>
      </c>
      <c r="K21" s="30" t="s">
        <v>191</v>
      </c>
      <c r="L21" s="30" t="s">
        <v>192</v>
      </c>
      <c r="M21" s="29" t="s">
        <v>62</v>
      </c>
      <c r="N21" s="30" t="s">
        <v>63</v>
      </c>
    </row>
    <row r="22" spans="1:26" ht="15.75" customHeight="1">
      <c r="A22" s="29">
        <v>18</v>
      </c>
      <c r="B22" s="30" t="s">
        <v>193</v>
      </c>
      <c r="C22" s="30" t="s">
        <v>194</v>
      </c>
      <c r="D22" s="29" t="s">
        <v>31</v>
      </c>
      <c r="E22" s="29">
        <v>19057</v>
      </c>
      <c r="F22" s="30" t="s">
        <v>195</v>
      </c>
      <c r="G22" s="30" t="s">
        <v>196</v>
      </c>
      <c r="H22" s="30" t="s">
        <v>57</v>
      </c>
      <c r="I22" s="30" t="s">
        <v>197</v>
      </c>
      <c r="J22" s="30" t="s">
        <v>198</v>
      </c>
      <c r="K22" s="30" t="s">
        <v>199</v>
      </c>
      <c r="L22" s="30" t="s">
        <v>200</v>
      </c>
      <c r="M22" s="29" t="s">
        <v>62</v>
      </c>
      <c r="N22" s="30" t="s">
        <v>63</v>
      </c>
    </row>
    <row r="23" spans="1:26" ht="15.75" customHeight="1">
      <c r="A23" s="29">
        <v>19</v>
      </c>
      <c r="B23" s="30" t="s">
        <v>201</v>
      </c>
      <c r="C23" s="30" t="s">
        <v>202</v>
      </c>
      <c r="D23" s="29" t="s">
        <v>31</v>
      </c>
      <c r="E23" s="29">
        <v>19078</v>
      </c>
      <c r="F23" s="30" t="s">
        <v>203</v>
      </c>
      <c r="G23" s="30" t="s">
        <v>204</v>
      </c>
      <c r="H23" s="30" t="s">
        <v>57</v>
      </c>
      <c r="I23" s="30" t="s">
        <v>205</v>
      </c>
      <c r="J23" s="30" t="s">
        <v>206</v>
      </c>
      <c r="K23" s="30" t="s">
        <v>207</v>
      </c>
      <c r="L23" s="30" t="s">
        <v>208</v>
      </c>
      <c r="M23" s="29" t="s">
        <v>62</v>
      </c>
      <c r="N23" s="30" t="s">
        <v>63</v>
      </c>
    </row>
    <row r="24" spans="1:26" ht="15.75" customHeight="1">
      <c r="A24" s="29">
        <v>20</v>
      </c>
      <c r="B24" s="30" t="s">
        <v>209</v>
      </c>
      <c r="C24" s="30" t="s">
        <v>210</v>
      </c>
      <c r="D24" s="29" t="s">
        <v>33</v>
      </c>
      <c r="E24" s="29">
        <v>19059</v>
      </c>
      <c r="F24" s="30" t="s">
        <v>211</v>
      </c>
      <c r="G24" s="30" t="s">
        <v>212</v>
      </c>
      <c r="H24" s="30" t="s">
        <v>57</v>
      </c>
      <c r="I24" s="30" t="s">
        <v>213</v>
      </c>
      <c r="J24" s="30" t="s">
        <v>214</v>
      </c>
      <c r="K24" s="30" t="s">
        <v>215</v>
      </c>
      <c r="L24" s="30" t="s">
        <v>216</v>
      </c>
      <c r="M24" s="29" t="s">
        <v>62</v>
      </c>
      <c r="N24" s="30" t="s">
        <v>63</v>
      </c>
    </row>
    <row r="25" spans="1:26" s="41" customFormat="1" ht="51" customHeight="1">
      <c r="A25" s="29">
        <v>21</v>
      </c>
      <c r="B25" s="30" t="s">
        <v>217</v>
      </c>
      <c r="C25" s="30" t="s">
        <v>218</v>
      </c>
      <c r="D25" s="29" t="s">
        <v>219</v>
      </c>
      <c r="E25" s="29">
        <v>19501</v>
      </c>
      <c r="F25" s="30" t="s">
        <v>220</v>
      </c>
      <c r="G25" s="30" t="s">
        <v>221</v>
      </c>
      <c r="H25" s="30" t="s">
        <v>57</v>
      </c>
      <c r="I25" s="30" t="s">
        <v>222</v>
      </c>
      <c r="J25" s="30" t="s">
        <v>223</v>
      </c>
      <c r="K25" s="30" t="s">
        <v>224</v>
      </c>
      <c r="L25" s="30"/>
      <c r="M25" s="29" t="s">
        <v>225</v>
      </c>
      <c r="N25" s="30" t="s">
        <v>63</v>
      </c>
    </row>
    <row r="26" spans="1:26" s="46" customFormat="1" ht="51" customHeight="1">
      <c r="A26" s="42">
        <v>22</v>
      </c>
      <c r="B26" s="43" t="s">
        <v>226</v>
      </c>
      <c r="C26" s="43" t="s">
        <v>227</v>
      </c>
      <c r="D26" s="42" t="s">
        <v>21</v>
      </c>
      <c r="E26" s="42">
        <v>19029</v>
      </c>
      <c r="F26" s="43" t="s">
        <v>228</v>
      </c>
      <c r="G26" s="43" t="s">
        <v>229</v>
      </c>
      <c r="H26" s="43" t="s">
        <v>230</v>
      </c>
      <c r="I26" s="43" t="s">
        <v>231</v>
      </c>
      <c r="J26" s="43" t="s">
        <v>232</v>
      </c>
      <c r="K26" s="43" t="s">
        <v>233</v>
      </c>
      <c r="L26" s="43" t="s">
        <v>234</v>
      </c>
      <c r="M26" s="42" t="s">
        <v>235</v>
      </c>
      <c r="N26" s="43" t="s">
        <v>236</v>
      </c>
    </row>
    <row r="27" spans="1:26" s="41" customFormat="1" ht="51" customHeight="1">
      <c r="A27" s="44">
        <v>23</v>
      </c>
      <c r="B27" s="45" t="s">
        <v>237</v>
      </c>
      <c r="C27" s="45" t="s">
        <v>238</v>
      </c>
      <c r="D27" s="44" t="s">
        <v>18</v>
      </c>
      <c r="E27" s="44">
        <v>19021</v>
      </c>
      <c r="F27" s="45" t="s">
        <v>239</v>
      </c>
      <c r="G27" s="45" t="s">
        <v>240</v>
      </c>
      <c r="H27" s="45" t="s">
        <v>241</v>
      </c>
      <c r="I27" s="45" t="s">
        <v>242</v>
      </c>
      <c r="J27" s="45" t="s">
        <v>243</v>
      </c>
      <c r="K27" s="45" t="s">
        <v>244</v>
      </c>
      <c r="L27" s="45" t="s">
        <v>245</v>
      </c>
      <c r="M27" s="44" t="s">
        <v>235</v>
      </c>
      <c r="N27" s="45" t="s">
        <v>246</v>
      </c>
    </row>
    <row r="28" spans="1:26" s="41" customFormat="1" ht="51" customHeight="1">
      <c r="A28" s="42">
        <v>24</v>
      </c>
      <c r="B28" s="43" t="s">
        <v>247</v>
      </c>
      <c r="C28" s="43" t="s">
        <v>248</v>
      </c>
      <c r="D28" s="42" t="s">
        <v>21</v>
      </c>
      <c r="E28" s="42">
        <v>19017</v>
      </c>
      <c r="F28" s="43" t="s">
        <v>249</v>
      </c>
      <c r="G28" s="43" t="s">
        <v>250</v>
      </c>
      <c r="H28" s="43" t="s">
        <v>251</v>
      </c>
      <c r="I28" s="43" t="s">
        <v>252</v>
      </c>
      <c r="J28" s="43" t="s">
        <v>253</v>
      </c>
      <c r="K28" s="43" t="s">
        <v>254</v>
      </c>
      <c r="L28" s="43" t="s">
        <v>255</v>
      </c>
      <c r="M28" s="42" t="s">
        <v>235</v>
      </c>
      <c r="N28" s="43" t="s">
        <v>256</v>
      </c>
    </row>
    <row r="29" spans="1:26" ht="51">
      <c r="A29" s="42">
        <v>25</v>
      </c>
      <c r="B29" s="43" t="s">
        <v>257</v>
      </c>
      <c r="C29" s="43" t="s">
        <v>258</v>
      </c>
      <c r="D29" s="42" t="s">
        <v>25</v>
      </c>
      <c r="E29" s="42">
        <v>19040</v>
      </c>
      <c r="F29" s="43" t="s">
        <v>259</v>
      </c>
      <c r="G29" s="43" t="s">
        <v>260</v>
      </c>
      <c r="H29" s="43" t="s">
        <v>241</v>
      </c>
      <c r="I29" s="43" t="s">
        <v>261</v>
      </c>
      <c r="J29" s="43" t="s">
        <v>262</v>
      </c>
      <c r="K29" s="43" t="s">
        <v>263</v>
      </c>
      <c r="L29" s="43" t="s">
        <v>264</v>
      </c>
      <c r="M29" s="42" t="s">
        <v>235</v>
      </c>
      <c r="N29" s="43" t="s">
        <v>265</v>
      </c>
    </row>
    <row r="30" spans="1:26" ht="15.75" customHeight="1">
      <c r="A30" s="35">
        <v>26</v>
      </c>
      <c r="B30" s="35" t="s">
        <v>266</v>
      </c>
      <c r="C30" s="35" t="s">
        <v>267</v>
      </c>
      <c r="D30" s="35" t="s">
        <v>268</v>
      </c>
      <c r="E30" s="35">
        <v>19072</v>
      </c>
      <c r="F30" s="35" t="s">
        <v>269</v>
      </c>
      <c r="G30" s="35" t="s">
        <v>270</v>
      </c>
      <c r="H30" s="35" t="s">
        <v>241</v>
      </c>
      <c r="I30" s="35" t="s">
        <v>271</v>
      </c>
      <c r="J30" s="35" t="s">
        <v>272</v>
      </c>
      <c r="K30" s="35" t="s">
        <v>273</v>
      </c>
      <c r="L30" s="35"/>
      <c r="M30" s="35" t="s">
        <v>235</v>
      </c>
      <c r="N30" s="35" t="s">
        <v>274</v>
      </c>
    </row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N2"/>
    <mergeCell ref="A1:N1"/>
  </mergeCells>
  <conditionalFormatting sqref="M5:M28">
    <cfRule type="containsText" dxfId="1" priority="1" operator="containsText" text="High">
      <formula>NOT(ISERROR(SEARCH(("High"),(M5))))</formula>
    </cfRule>
    <cfRule type="containsText" dxfId="0" priority="2" operator="containsText" text="Medium">
      <formula>NOT(ISERROR(SEARCH(("Medium"),(M5))))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>
      <selection activeCell="E11" sqref="E11"/>
    </sheetView>
  </sheetViews>
  <sheetFormatPr defaultColWidth="12.625" defaultRowHeight="14.25"/>
  <cols>
    <col min="1" max="1" width="6" style="48" customWidth="1"/>
    <col min="2" max="2" width="34" style="48" customWidth="1"/>
    <col min="3" max="3" width="16" style="48" customWidth="1"/>
    <col min="4" max="4" width="30" style="48" customWidth="1"/>
    <col min="5" max="5" width="65.75" style="48" customWidth="1"/>
    <col min="6" max="6" width="15" style="48" customWidth="1"/>
    <col min="7" max="7" width="16" style="48" customWidth="1"/>
    <col min="8" max="8" width="18" style="48" customWidth="1"/>
    <col min="9" max="9" width="40" style="48" customWidth="1"/>
    <col min="10" max="10" width="62" style="48" customWidth="1"/>
    <col min="11" max="26" width="8.625" style="48" customWidth="1"/>
  </cols>
  <sheetData>
    <row r="1" spans="1:26" ht="36" customHeight="1">
      <c r="A1" s="58" t="s">
        <v>275</v>
      </c>
      <c r="B1" s="50"/>
      <c r="C1" s="50"/>
      <c r="D1" s="50"/>
      <c r="E1" s="50"/>
      <c r="F1" s="50"/>
      <c r="G1" s="50"/>
      <c r="H1" s="50"/>
      <c r="I1" s="50"/>
      <c r="J1" s="50"/>
    </row>
    <row r="2" spans="1:26" ht="31.5" customHeight="1">
      <c r="A2" s="49" t="s">
        <v>276</v>
      </c>
      <c r="B2" s="50"/>
      <c r="C2" s="50"/>
      <c r="D2" s="50"/>
      <c r="E2" s="50"/>
      <c r="F2" s="50"/>
      <c r="G2" s="50"/>
      <c r="H2" s="50"/>
      <c r="I2" s="50"/>
      <c r="J2" s="50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</row>
    <row r="4" spans="1:26" ht="33.75" customHeight="1">
      <c r="A4" s="9" t="s">
        <v>39</v>
      </c>
      <c r="B4" s="11" t="s">
        <v>277</v>
      </c>
      <c r="C4" s="11" t="s">
        <v>278</v>
      </c>
      <c r="D4" s="11" t="s">
        <v>279</v>
      </c>
      <c r="E4" s="11" t="s">
        <v>280</v>
      </c>
      <c r="F4" s="11" t="s">
        <v>281</v>
      </c>
      <c r="G4" s="11" t="s">
        <v>282</v>
      </c>
      <c r="H4" s="11" t="s">
        <v>283</v>
      </c>
      <c r="I4" s="11" t="s">
        <v>284</v>
      </c>
      <c r="J4" s="12" t="s">
        <v>285</v>
      </c>
    </row>
    <row r="5" spans="1:26" ht="36" customHeight="1">
      <c r="A5" s="29">
        <v>1</v>
      </c>
      <c r="B5" s="30" t="s">
        <v>53</v>
      </c>
      <c r="C5" s="30" t="s">
        <v>10</v>
      </c>
      <c r="D5" s="30" t="s">
        <v>55</v>
      </c>
      <c r="E5" s="30" t="s">
        <v>286</v>
      </c>
      <c r="F5" s="30" t="s">
        <v>62</v>
      </c>
      <c r="G5" s="30" t="s">
        <v>287</v>
      </c>
      <c r="H5" s="30"/>
      <c r="I5" s="30" t="s">
        <v>288</v>
      </c>
      <c r="J5" s="30" t="s">
        <v>289</v>
      </c>
    </row>
    <row r="6" spans="1:26" ht="36" customHeight="1">
      <c r="A6" s="29">
        <v>2</v>
      </c>
      <c r="B6" s="30" t="s">
        <v>64</v>
      </c>
      <c r="C6" s="30" t="s">
        <v>10</v>
      </c>
      <c r="D6" s="30" t="s">
        <v>66</v>
      </c>
      <c r="E6" s="30" t="s">
        <v>290</v>
      </c>
      <c r="F6" s="30" t="s">
        <v>62</v>
      </c>
      <c r="G6" s="30" t="s">
        <v>287</v>
      </c>
      <c r="H6" s="30"/>
      <c r="I6" s="30" t="s">
        <v>288</v>
      </c>
      <c r="J6" s="30" t="s">
        <v>289</v>
      </c>
    </row>
    <row r="7" spans="1:26" ht="36" customHeight="1">
      <c r="A7" s="29">
        <v>3</v>
      </c>
      <c r="B7" s="30" t="s">
        <v>72</v>
      </c>
      <c r="C7" s="30" t="s">
        <v>15</v>
      </c>
      <c r="D7" s="30" t="s">
        <v>74</v>
      </c>
      <c r="E7" s="30" t="s">
        <v>291</v>
      </c>
      <c r="F7" s="30" t="s">
        <v>62</v>
      </c>
      <c r="G7" s="30" t="s">
        <v>287</v>
      </c>
      <c r="H7" s="30"/>
      <c r="I7" s="30" t="s">
        <v>288</v>
      </c>
      <c r="J7" s="30" t="s">
        <v>289</v>
      </c>
    </row>
    <row r="8" spans="1:26" ht="36" customHeight="1">
      <c r="A8" s="29">
        <v>4</v>
      </c>
      <c r="B8" s="30" t="s">
        <v>80</v>
      </c>
      <c r="C8" s="30" t="s">
        <v>18</v>
      </c>
      <c r="D8" s="30" t="s">
        <v>82</v>
      </c>
      <c r="E8" s="30" t="s">
        <v>292</v>
      </c>
      <c r="F8" s="30" t="s">
        <v>293</v>
      </c>
      <c r="G8" s="30" t="s">
        <v>287</v>
      </c>
      <c r="H8" s="30"/>
      <c r="I8" s="30" t="s">
        <v>294</v>
      </c>
      <c r="J8" s="30" t="s">
        <v>289</v>
      </c>
    </row>
    <row r="9" spans="1:26" ht="36" customHeight="1">
      <c r="A9" s="29">
        <v>5</v>
      </c>
      <c r="B9" s="30" t="s">
        <v>88</v>
      </c>
      <c r="C9" s="30" t="s">
        <v>21</v>
      </c>
      <c r="D9" s="30" t="s">
        <v>90</v>
      </c>
      <c r="E9" s="30" t="s">
        <v>295</v>
      </c>
      <c r="F9" s="30" t="s">
        <v>62</v>
      </c>
      <c r="G9" s="30" t="s">
        <v>287</v>
      </c>
      <c r="H9" s="30"/>
      <c r="I9" s="30" t="s">
        <v>288</v>
      </c>
      <c r="J9" s="30" t="s">
        <v>289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36" customHeight="1">
      <c r="A10" s="29">
        <v>6</v>
      </c>
      <c r="B10" s="30" t="s">
        <v>96</v>
      </c>
      <c r="C10" s="30" t="s">
        <v>21</v>
      </c>
      <c r="D10" s="30" t="s">
        <v>98</v>
      </c>
      <c r="E10" s="30" t="s">
        <v>296</v>
      </c>
      <c r="F10" s="30" t="s">
        <v>62</v>
      </c>
      <c r="G10" s="30" t="s">
        <v>287</v>
      </c>
      <c r="H10" s="30"/>
      <c r="I10" s="30" t="s">
        <v>288</v>
      </c>
      <c r="J10" s="30" t="s">
        <v>289</v>
      </c>
    </row>
    <row r="11" spans="1:26" ht="36" customHeight="1">
      <c r="A11" s="29">
        <v>7</v>
      </c>
      <c r="B11" s="30" t="s">
        <v>104</v>
      </c>
      <c r="C11" s="30" t="s">
        <v>21</v>
      </c>
      <c r="D11" s="30" t="s">
        <v>106</v>
      </c>
      <c r="E11" s="30" t="s">
        <v>297</v>
      </c>
      <c r="F11" s="30" t="s">
        <v>225</v>
      </c>
      <c r="G11" s="30" t="s">
        <v>287</v>
      </c>
      <c r="H11" s="30"/>
      <c r="I11" s="30" t="s">
        <v>288</v>
      </c>
      <c r="J11" s="30" t="s">
        <v>298</v>
      </c>
    </row>
    <row r="12" spans="1:26" ht="36" customHeight="1">
      <c r="A12" s="29">
        <v>8</v>
      </c>
      <c r="B12" s="30" t="s">
        <v>113</v>
      </c>
      <c r="C12" s="30" t="s">
        <v>25</v>
      </c>
      <c r="D12" s="30" t="s">
        <v>115</v>
      </c>
      <c r="E12" s="30" t="s">
        <v>299</v>
      </c>
      <c r="F12" s="30" t="s">
        <v>62</v>
      </c>
      <c r="G12" s="30" t="s">
        <v>287</v>
      </c>
      <c r="H12" s="30"/>
      <c r="I12" s="30" t="s">
        <v>288</v>
      </c>
      <c r="J12" s="30" t="s">
        <v>289</v>
      </c>
    </row>
    <row r="13" spans="1:26" ht="36" customHeight="1">
      <c r="A13" s="29">
        <v>9</v>
      </c>
      <c r="B13" s="30" t="s">
        <v>121</v>
      </c>
      <c r="C13" s="30" t="s">
        <v>25</v>
      </c>
      <c r="D13" s="30" t="s">
        <v>123</v>
      </c>
      <c r="E13" s="30" t="s">
        <v>300</v>
      </c>
      <c r="F13" s="30" t="s">
        <v>293</v>
      </c>
      <c r="G13" s="30" t="s">
        <v>287</v>
      </c>
      <c r="H13" s="30"/>
      <c r="I13" s="30" t="s">
        <v>294</v>
      </c>
      <c r="J13" s="30" t="s">
        <v>289</v>
      </c>
    </row>
    <row r="14" spans="1:26" ht="36" customHeight="1">
      <c r="A14" s="29">
        <v>10</v>
      </c>
      <c r="B14" s="30" t="s">
        <v>129</v>
      </c>
      <c r="C14" s="30" t="s">
        <v>21</v>
      </c>
      <c r="D14" s="30" t="s">
        <v>301</v>
      </c>
      <c r="E14" s="30" t="s">
        <v>302</v>
      </c>
      <c r="F14" s="30" t="s">
        <v>293</v>
      </c>
      <c r="G14" s="30" t="s">
        <v>303</v>
      </c>
      <c r="H14" s="30"/>
      <c r="I14" s="30" t="s">
        <v>304</v>
      </c>
      <c r="J14" s="30" t="s">
        <v>305</v>
      </c>
    </row>
    <row r="15" spans="1:26" ht="36" customHeight="1">
      <c r="A15" s="33">
        <v>11</v>
      </c>
      <c r="B15" s="34" t="s">
        <v>137</v>
      </c>
      <c r="C15" s="34" t="s">
        <v>28</v>
      </c>
      <c r="D15" s="34" t="s">
        <v>139</v>
      </c>
      <c r="E15" s="34" t="s">
        <v>306</v>
      </c>
      <c r="F15" s="34" t="s">
        <v>293</v>
      </c>
      <c r="G15" s="34" t="s">
        <v>287</v>
      </c>
      <c r="H15" s="34"/>
      <c r="I15" s="34" t="s">
        <v>307</v>
      </c>
      <c r="J15" s="34" t="s">
        <v>308</v>
      </c>
    </row>
    <row r="16" spans="1:26" ht="36" customHeight="1">
      <c r="A16" s="33">
        <v>12</v>
      </c>
      <c r="B16" s="34" t="s">
        <v>145</v>
      </c>
      <c r="C16" s="34" t="s">
        <v>28</v>
      </c>
      <c r="D16" s="34" t="s">
        <v>147</v>
      </c>
      <c r="E16" s="34" t="s">
        <v>309</v>
      </c>
      <c r="F16" s="34" t="s">
        <v>293</v>
      </c>
      <c r="G16" s="34" t="s">
        <v>287</v>
      </c>
      <c r="H16" s="34"/>
      <c r="I16" s="34" t="s">
        <v>310</v>
      </c>
      <c r="J16" s="34" t="s">
        <v>311</v>
      </c>
    </row>
    <row r="17" spans="1:26" ht="36" customHeight="1">
      <c r="A17" s="29">
        <v>13</v>
      </c>
      <c r="B17" s="30" t="s">
        <v>153</v>
      </c>
      <c r="C17" s="30" t="s">
        <v>28</v>
      </c>
      <c r="D17" s="30" t="s">
        <v>155</v>
      </c>
      <c r="E17" s="30" t="s">
        <v>312</v>
      </c>
      <c r="F17" s="30" t="s">
        <v>62</v>
      </c>
      <c r="G17" s="30" t="s">
        <v>287</v>
      </c>
      <c r="H17" s="30"/>
      <c r="I17" s="30" t="s">
        <v>288</v>
      </c>
      <c r="J17" s="30" t="s">
        <v>289</v>
      </c>
    </row>
    <row r="18" spans="1:26" ht="36" customHeight="1">
      <c r="A18" s="29">
        <v>14</v>
      </c>
      <c r="B18" s="30" t="s">
        <v>161</v>
      </c>
      <c r="C18" s="30" t="s">
        <v>28</v>
      </c>
      <c r="D18" s="30" t="s">
        <v>163</v>
      </c>
      <c r="E18" s="30" t="s">
        <v>313</v>
      </c>
      <c r="F18" s="30" t="s">
        <v>293</v>
      </c>
      <c r="G18" s="30" t="s">
        <v>287</v>
      </c>
      <c r="H18" s="30"/>
      <c r="I18" s="30" t="s">
        <v>294</v>
      </c>
      <c r="J18" s="30" t="s">
        <v>289</v>
      </c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36" customHeight="1">
      <c r="A19" s="29">
        <v>15</v>
      </c>
      <c r="B19" s="30" t="s">
        <v>169</v>
      </c>
      <c r="C19" s="30" t="s">
        <v>31</v>
      </c>
      <c r="D19" s="30" t="s">
        <v>171</v>
      </c>
      <c r="E19" s="30" t="s">
        <v>314</v>
      </c>
      <c r="F19" s="30" t="s">
        <v>293</v>
      </c>
      <c r="G19" s="30" t="s">
        <v>287</v>
      </c>
      <c r="H19" s="30"/>
      <c r="I19" s="30" t="s">
        <v>294</v>
      </c>
      <c r="J19" s="30" t="s">
        <v>289</v>
      </c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36" customHeight="1">
      <c r="A20" s="29">
        <v>16</v>
      </c>
      <c r="B20" s="30" t="s">
        <v>177</v>
      </c>
      <c r="C20" s="30" t="s">
        <v>31</v>
      </c>
      <c r="D20" s="30" t="s">
        <v>179</v>
      </c>
      <c r="E20" s="30" t="s">
        <v>315</v>
      </c>
      <c r="F20" s="30" t="s">
        <v>293</v>
      </c>
      <c r="G20" s="30" t="s">
        <v>287</v>
      </c>
      <c r="H20" s="30"/>
      <c r="I20" s="30" t="s">
        <v>294</v>
      </c>
      <c r="J20" s="30" t="s">
        <v>289</v>
      </c>
    </row>
    <row r="21" spans="1:26" ht="36" customHeight="1">
      <c r="A21" s="29">
        <v>17</v>
      </c>
      <c r="B21" s="30" t="s">
        <v>185</v>
      </c>
      <c r="C21" s="30" t="s">
        <v>31</v>
      </c>
      <c r="D21" s="30" t="s">
        <v>187</v>
      </c>
      <c r="E21" s="30" t="s">
        <v>316</v>
      </c>
      <c r="F21" s="30" t="s">
        <v>293</v>
      </c>
      <c r="G21" s="30" t="s">
        <v>287</v>
      </c>
      <c r="H21" s="30"/>
      <c r="I21" s="30" t="s">
        <v>294</v>
      </c>
      <c r="J21" s="30" t="s">
        <v>289</v>
      </c>
    </row>
    <row r="22" spans="1:26" ht="36" customHeight="1">
      <c r="A22" s="29">
        <v>18</v>
      </c>
      <c r="B22" s="30" t="s">
        <v>193</v>
      </c>
      <c r="C22" s="30" t="s">
        <v>31</v>
      </c>
      <c r="D22" s="30" t="s">
        <v>195</v>
      </c>
      <c r="E22" s="30" t="s">
        <v>317</v>
      </c>
      <c r="F22" s="30" t="s">
        <v>62</v>
      </c>
      <c r="G22" s="30" t="s">
        <v>287</v>
      </c>
      <c r="H22" s="30"/>
      <c r="I22" s="30" t="s">
        <v>288</v>
      </c>
      <c r="J22" s="30" t="s">
        <v>318</v>
      </c>
    </row>
    <row r="23" spans="1:26" ht="36" customHeight="1">
      <c r="A23" s="29">
        <v>19</v>
      </c>
      <c r="B23" s="30" t="s">
        <v>201</v>
      </c>
      <c r="C23" s="30" t="s">
        <v>31</v>
      </c>
      <c r="D23" s="30" t="s">
        <v>203</v>
      </c>
      <c r="E23" s="30" t="s">
        <v>319</v>
      </c>
      <c r="F23" s="30" t="s">
        <v>293</v>
      </c>
      <c r="G23" s="30" t="s">
        <v>287</v>
      </c>
      <c r="H23" s="30"/>
      <c r="I23" s="30" t="s">
        <v>294</v>
      </c>
      <c r="J23" s="30" t="s">
        <v>289</v>
      </c>
    </row>
    <row r="24" spans="1:26" ht="36" customHeight="1">
      <c r="A24" s="29">
        <v>20</v>
      </c>
      <c r="B24" s="30" t="s">
        <v>209</v>
      </c>
      <c r="C24" s="30" t="s">
        <v>33</v>
      </c>
      <c r="D24" s="30" t="s">
        <v>211</v>
      </c>
      <c r="E24" s="30" t="s">
        <v>320</v>
      </c>
      <c r="F24" s="30" t="s">
        <v>293</v>
      </c>
      <c r="G24" s="30" t="s">
        <v>287</v>
      </c>
      <c r="H24" s="30"/>
      <c r="I24" s="30" t="s">
        <v>294</v>
      </c>
      <c r="J24" s="30" t="s">
        <v>289</v>
      </c>
    </row>
    <row r="25" spans="1:26" ht="36" customHeight="1">
      <c r="A25" s="29">
        <v>21</v>
      </c>
      <c r="B25" s="30" t="s">
        <v>217</v>
      </c>
      <c r="C25" s="30" t="s">
        <v>219</v>
      </c>
      <c r="D25" s="30" t="s">
        <v>220</v>
      </c>
      <c r="E25" s="30" t="s">
        <v>321</v>
      </c>
      <c r="F25" s="30" t="s">
        <v>293</v>
      </c>
      <c r="G25" s="30" t="s">
        <v>287</v>
      </c>
      <c r="H25" s="30"/>
      <c r="I25" s="30" t="s">
        <v>294</v>
      </c>
      <c r="J25" s="30" t="s">
        <v>289</v>
      </c>
    </row>
    <row r="26" spans="1:26" ht="36" customHeight="1">
      <c r="A26" s="33">
        <v>22</v>
      </c>
      <c r="B26" s="34" t="s">
        <v>226</v>
      </c>
      <c r="C26" s="34" t="s">
        <v>21</v>
      </c>
      <c r="D26" s="34" t="s">
        <v>228</v>
      </c>
      <c r="E26" s="34" t="s">
        <v>322</v>
      </c>
      <c r="F26" s="34" t="s">
        <v>62</v>
      </c>
      <c r="G26" s="34" t="s">
        <v>287</v>
      </c>
      <c r="H26" s="34"/>
      <c r="I26" s="34" t="s">
        <v>323</v>
      </c>
      <c r="J26" s="34" t="s">
        <v>324</v>
      </c>
    </row>
    <row r="27" spans="1:26" ht="36" customHeight="1">
      <c r="A27" s="33">
        <v>23</v>
      </c>
      <c r="B27" s="34" t="s">
        <v>237</v>
      </c>
      <c r="C27" s="34" t="s">
        <v>18</v>
      </c>
      <c r="D27" s="34" t="s">
        <v>325</v>
      </c>
      <c r="E27" s="34" t="s">
        <v>326</v>
      </c>
      <c r="F27" s="34" t="s">
        <v>62</v>
      </c>
      <c r="G27" s="34" t="s">
        <v>287</v>
      </c>
      <c r="H27" s="34"/>
      <c r="I27" s="34" t="s">
        <v>327</v>
      </c>
      <c r="J27" s="34" t="s">
        <v>328</v>
      </c>
    </row>
    <row r="28" spans="1:26" ht="36" customHeight="1">
      <c r="A28" s="33">
        <v>24</v>
      </c>
      <c r="B28" s="34" t="s">
        <v>247</v>
      </c>
      <c r="C28" s="34" t="s">
        <v>21</v>
      </c>
      <c r="D28" s="34" t="s">
        <v>249</v>
      </c>
      <c r="E28" s="34" t="s">
        <v>329</v>
      </c>
      <c r="F28" s="34" t="s">
        <v>293</v>
      </c>
      <c r="G28" s="34" t="s">
        <v>287</v>
      </c>
      <c r="H28" s="34"/>
      <c r="I28" s="34" t="s">
        <v>330</v>
      </c>
      <c r="J28" s="34" t="s">
        <v>331</v>
      </c>
    </row>
    <row r="29" spans="1:26" ht="36" customHeight="1">
      <c r="A29" s="33">
        <v>25</v>
      </c>
      <c r="B29" s="34" t="s">
        <v>257</v>
      </c>
      <c r="C29" s="34" t="s">
        <v>25</v>
      </c>
      <c r="D29" s="34" t="s">
        <v>332</v>
      </c>
      <c r="E29" s="34" t="s">
        <v>333</v>
      </c>
      <c r="F29" s="34" t="s">
        <v>62</v>
      </c>
      <c r="G29" s="34" t="s">
        <v>287</v>
      </c>
      <c r="H29" s="34"/>
      <c r="I29" s="34" t="s">
        <v>334</v>
      </c>
      <c r="J29" s="34" t="s">
        <v>335</v>
      </c>
    </row>
    <row r="30" spans="1:26" ht="28.5">
      <c r="A30" s="35">
        <v>26</v>
      </c>
      <c r="B30" s="35" t="s">
        <v>266</v>
      </c>
      <c r="C30" s="35" t="s">
        <v>268</v>
      </c>
      <c r="D30" s="35" t="s">
        <v>269</v>
      </c>
      <c r="E30" s="36" t="s">
        <v>336</v>
      </c>
      <c r="F30" s="35" t="s">
        <v>293</v>
      </c>
      <c r="G30" s="35" t="s">
        <v>287</v>
      </c>
      <c r="H30" s="35"/>
      <c r="I30" s="35" t="s">
        <v>337</v>
      </c>
      <c r="J30" s="35" t="s">
        <v>338</v>
      </c>
    </row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dataValidations count="2">
    <dataValidation type="list" allowBlank="1" sqref="F5:F28" xr:uid="{00000000-0002-0000-0200-000000000000}">
      <formula1>"Medium,High,Very High"</formula1>
    </dataValidation>
    <dataValidation type="list" allowBlank="1" sqref="G5:G28" xr:uid="{00000000-0002-0000-0200-000001000000}">
      <formula1>"Backlog,In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topLeftCell="A17" workbookViewId="0">
      <selection sqref="A1:K1"/>
    </sheetView>
  </sheetViews>
  <sheetFormatPr defaultColWidth="12.625" defaultRowHeight="14.25"/>
  <cols>
    <col min="1" max="1" width="6" style="48" customWidth="1"/>
    <col min="2" max="2" width="38" style="48" customWidth="1"/>
    <col min="3" max="3" width="18" style="48" customWidth="1"/>
    <col min="4" max="4" width="42" style="48" customWidth="1"/>
    <col min="5" max="5" width="46" style="48" customWidth="1"/>
    <col min="6" max="6" width="38" style="48" customWidth="1"/>
    <col min="7" max="9" width="58" style="48" customWidth="1"/>
    <col min="10" max="11" width="48" style="48" customWidth="1"/>
    <col min="12" max="26" width="8.625" style="48" customWidth="1"/>
  </cols>
  <sheetData>
    <row r="1" spans="1:26" ht="36" customHeight="1">
      <c r="A1" s="58" t="s">
        <v>339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26" ht="31.5" customHeight="1">
      <c r="A2" s="49" t="s">
        <v>340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26" ht="33.75" customHeight="1">
      <c r="A4" s="9" t="s">
        <v>39</v>
      </c>
      <c r="B4" s="11" t="s">
        <v>277</v>
      </c>
      <c r="C4" s="11" t="s">
        <v>341</v>
      </c>
      <c r="D4" s="11" t="s">
        <v>342</v>
      </c>
      <c r="E4" s="11" t="s">
        <v>343</v>
      </c>
      <c r="F4" s="11" t="s">
        <v>344</v>
      </c>
      <c r="G4" s="11" t="s">
        <v>345</v>
      </c>
      <c r="H4" s="11" t="s">
        <v>346</v>
      </c>
      <c r="I4" s="11" t="s">
        <v>347</v>
      </c>
      <c r="J4" s="11" t="s">
        <v>348</v>
      </c>
      <c r="K4" s="12" t="s">
        <v>349</v>
      </c>
    </row>
    <row r="5" spans="1:26" ht="51" customHeight="1">
      <c r="A5" s="25">
        <v>1</v>
      </c>
      <c r="B5" s="23" t="s">
        <v>350</v>
      </c>
      <c r="C5" s="23" t="s">
        <v>10</v>
      </c>
      <c r="D5" s="23" t="s">
        <v>351</v>
      </c>
      <c r="E5" s="23" t="s">
        <v>352</v>
      </c>
      <c r="F5" s="23" t="s">
        <v>353</v>
      </c>
      <c r="G5" s="23" t="s">
        <v>354</v>
      </c>
      <c r="H5" s="23" t="s">
        <v>355</v>
      </c>
      <c r="I5" s="23" t="s">
        <v>356</v>
      </c>
      <c r="J5" s="23" t="s">
        <v>357</v>
      </c>
      <c r="K5" s="23" t="s">
        <v>358</v>
      </c>
    </row>
    <row r="6" spans="1:26" ht="51" customHeight="1">
      <c r="A6" s="25">
        <v>2</v>
      </c>
      <c r="B6" s="23" t="s">
        <v>359</v>
      </c>
      <c r="C6" s="23" t="s">
        <v>21</v>
      </c>
      <c r="D6" s="23" t="s">
        <v>360</v>
      </c>
      <c r="E6" s="23" t="s">
        <v>361</v>
      </c>
      <c r="F6" s="23" t="s">
        <v>362</v>
      </c>
      <c r="G6" s="23" t="s">
        <v>354</v>
      </c>
      <c r="H6" s="23" t="s">
        <v>363</v>
      </c>
      <c r="I6" s="23" t="s">
        <v>364</v>
      </c>
      <c r="J6" s="23" t="s">
        <v>365</v>
      </c>
      <c r="K6" s="23" t="s">
        <v>366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51" customHeight="1">
      <c r="A7" s="25">
        <v>3</v>
      </c>
      <c r="B7" s="23" t="s">
        <v>367</v>
      </c>
      <c r="C7" s="23" t="s">
        <v>21</v>
      </c>
      <c r="D7" s="23" t="s">
        <v>368</v>
      </c>
      <c r="E7" s="23" t="s">
        <v>369</v>
      </c>
      <c r="F7" s="23" t="s">
        <v>370</v>
      </c>
      <c r="G7" s="23" t="s">
        <v>354</v>
      </c>
      <c r="H7" s="23" t="s">
        <v>371</v>
      </c>
      <c r="I7" s="23" t="s">
        <v>372</v>
      </c>
      <c r="J7" s="23" t="s">
        <v>373</v>
      </c>
      <c r="K7" s="23" t="s">
        <v>374</v>
      </c>
    </row>
    <row r="8" spans="1:26" ht="51" customHeight="1">
      <c r="A8" s="25">
        <v>4</v>
      </c>
      <c r="B8" s="23" t="s">
        <v>375</v>
      </c>
      <c r="C8" s="23" t="s">
        <v>21</v>
      </c>
      <c r="D8" s="23" t="s">
        <v>376</v>
      </c>
      <c r="E8" s="23" t="s">
        <v>377</v>
      </c>
      <c r="F8" s="23" t="s">
        <v>378</v>
      </c>
      <c r="G8" s="23" t="s">
        <v>354</v>
      </c>
      <c r="H8" s="23" t="s">
        <v>379</v>
      </c>
      <c r="I8" s="23" t="s">
        <v>380</v>
      </c>
      <c r="J8" s="23" t="s">
        <v>381</v>
      </c>
      <c r="K8" s="23" t="s">
        <v>382</v>
      </c>
    </row>
    <row r="9" spans="1:26" ht="51" customHeight="1">
      <c r="A9" s="25">
        <v>5</v>
      </c>
      <c r="B9" s="23" t="s">
        <v>383</v>
      </c>
      <c r="C9" s="23" t="s">
        <v>21</v>
      </c>
      <c r="D9" s="23" t="s">
        <v>384</v>
      </c>
      <c r="E9" s="23" t="s">
        <v>385</v>
      </c>
      <c r="F9" s="23" t="s">
        <v>386</v>
      </c>
      <c r="G9" s="23" t="s">
        <v>354</v>
      </c>
      <c r="H9" s="23" t="s">
        <v>387</v>
      </c>
      <c r="I9" s="23" t="s">
        <v>388</v>
      </c>
      <c r="J9" s="23" t="s">
        <v>389</v>
      </c>
      <c r="K9" s="23" t="s">
        <v>390</v>
      </c>
    </row>
    <row r="10" spans="1:26" ht="51" customHeight="1">
      <c r="A10" s="25">
        <v>6</v>
      </c>
      <c r="B10" s="23" t="s">
        <v>391</v>
      </c>
      <c r="C10" s="23" t="s">
        <v>18</v>
      </c>
      <c r="D10" s="23" t="s">
        <v>392</v>
      </c>
      <c r="E10" s="23" t="s">
        <v>393</v>
      </c>
      <c r="F10" s="23" t="s">
        <v>394</v>
      </c>
      <c r="G10" s="23" t="s">
        <v>354</v>
      </c>
      <c r="H10" s="23" t="s">
        <v>395</v>
      </c>
      <c r="I10" s="23" t="s">
        <v>396</v>
      </c>
      <c r="J10" s="23" t="s">
        <v>397</v>
      </c>
      <c r="K10" s="23" t="s">
        <v>398</v>
      </c>
    </row>
    <row r="11" spans="1:26" ht="51" customHeight="1">
      <c r="A11" s="25">
        <v>7</v>
      </c>
      <c r="B11" s="23" t="s">
        <v>399</v>
      </c>
      <c r="C11" s="23" t="s">
        <v>33</v>
      </c>
      <c r="D11" s="23" t="s">
        <v>400</v>
      </c>
      <c r="E11" s="23" t="s">
        <v>352</v>
      </c>
      <c r="F11" s="23" t="s">
        <v>401</v>
      </c>
      <c r="G11" s="23" t="s">
        <v>354</v>
      </c>
      <c r="H11" s="23" t="s">
        <v>402</v>
      </c>
      <c r="I11" s="23" t="s">
        <v>403</v>
      </c>
      <c r="J11" s="23" t="s">
        <v>404</v>
      </c>
      <c r="K11" s="23" t="s">
        <v>405</v>
      </c>
    </row>
    <row r="12" spans="1:26" ht="51" customHeight="1">
      <c r="A12" s="25">
        <v>8</v>
      </c>
      <c r="B12" s="23" t="s">
        <v>406</v>
      </c>
      <c r="C12" s="23" t="s">
        <v>33</v>
      </c>
      <c r="D12" s="23" t="s">
        <v>407</v>
      </c>
      <c r="E12" s="23" t="s">
        <v>352</v>
      </c>
      <c r="F12" s="23" t="s">
        <v>401</v>
      </c>
      <c r="G12" s="23" t="s">
        <v>354</v>
      </c>
      <c r="H12" s="23" t="s">
        <v>408</v>
      </c>
      <c r="I12" s="23" t="s">
        <v>403</v>
      </c>
      <c r="J12" s="23" t="s">
        <v>409</v>
      </c>
      <c r="K12" s="23" t="s">
        <v>405</v>
      </c>
    </row>
    <row r="13" spans="1:26" ht="51" customHeight="1">
      <c r="A13" s="25">
        <v>9</v>
      </c>
      <c r="B13" s="23" t="s">
        <v>410</v>
      </c>
      <c r="C13" s="23" t="s">
        <v>21</v>
      </c>
      <c r="D13" s="23" t="s">
        <v>411</v>
      </c>
      <c r="E13" s="23" t="s">
        <v>412</v>
      </c>
      <c r="F13" s="23" t="s">
        <v>413</v>
      </c>
      <c r="G13" s="23" t="s">
        <v>354</v>
      </c>
      <c r="H13" s="23" t="s">
        <v>414</v>
      </c>
      <c r="I13" s="23" t="s">
        <v>356</v>
      </c>
      <c r="J13" s="23" t="s">
        <v>415</v>
      </c>
      <c r="K13" s="23" t="s">
        <v>358</v>
      </c>
    </row>
    <row r="14" spans="1:26" ht="51" customHeight="1">
      <c r="A14" s="25">
        <v>10</v>
      </c>
      <c r="B14" s="23" t="s">
        <v>416</v>
      </c>
      <c r="C14" s="23" t="s">
        <v>18</v>
      </c>
      <c r="D14" s="23" t="s">
        <v>417</v>
      </c>
      <c r="E14" s="23" t="s">
        <v>418</v>
      </c>
      <c r="F14" s="23" t="s">
        <v>419</v>
      </c>
      <c r="G14" s="23" t="s">
        <v>354</v>
      </c>
      <c r="H14" s="23" t="s">
        <v>420</v>
      </c>
      <c r="I14" s="23" t="s">
        <v>421</v>
      </c>
      <c r="J14" s="23" t="s">
        <v>422</v>
      </c>
      <c r="K14" s="23" t="s">
        <v>423</v>
      </c>
    </row>
    <row r="15" spans="1:26" ht="51" customHeight="1">
      <c r="A15" s="25">
        <v>11</v>
      </c>
      <c r="B15" s="23" t="s">
        <v>424</v>
      </c>
      <c r="C15" s="23" t="s">
        <v>18</v>
      </c>
      <c r="D15" s="23" t="s">
        <v>425</v>
      </c>
      <c r="E15" s="23" t="s">
        <v>426</v>
      </c>
      <c r="F15" s="23" t="s">
        <v>427</v>
      </c>
      <c r="G15" s="23" t="s">
        <v>354</v>
      </c>
      <c r="H15" s="23" t="s">
        <v>428</v>
      </c>
      <c r="I15" s="23" t="s">
        <v>429</v>
      </c>
      <c r="J15" s="23" t="s">
        <v>430</v>
      </c>
      <c r="K15" s="23" t="s">
        <v>431</v>
      </c>
    </row>
    <row r="16" spans="1:26" ht="51" customHeight="1">
      <c r="A16" s="25">
        <v>12</v>
      </c>
      <c r="B16" s="23" t="s">
        <v>432</v>
      </c>
      <c r="C16" s="23" t="s">
        <v>18</v>
      </c>
      <c r="D16" s="23" t="s">
        <v>433</v>
      </c>
      <c r="E16" s="23" t="s">
        <v>434</v>
      </c>
      <c r="F16" s="23" t="s">
        <v>435</v>
      </c>
      <c r="G16" s="23" t="s">
        <v>354</v>
      </c>
      <c r="H16" s="23" t="s">
        <v>436</v>
      </c>
      <c r="I16" s="23" t="s">
        <v>437</v>
      </c>
      <c r="J16" s="23" t="s">
        <v>438</v>
      </c>
      <c r="K16" s="23" t="s">
        <v>439</v>
      </c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51" customHeight="1">
      <c r="A17" s="25">
        <v>13</v>
      </c>
      <c r="B17" s="23" t="s">
        <v>440</v>
      </c>
      <c r="C17" s="23" t="s">
        <v>15</v>
      </c>
      <c r="D17" s="23" t="s">
        <v>441</v>
      </c>
      <c r="E17" s="23" t="s">
        <v>442</v>
      </c>
      <c r="F17" s="23" t="s">
        <v>443</v>
      </c>
      <c r="G17" s="23" t="s">
        <v>354</v>
      </c>
      <c r="H17" s="23" t="s">
        <v>444</v>
      </c>
      <c r="I17" s="23" t="s">
        <v>445</v>
      </c>
      <c r="J17" s="23" t="s">
        <v>446</v>
      </c>
      <c r="K17" s="23" t="s">
        <v>447</v>
      </c>
    </row>
    <row r="18" spans="1:26" ht="51" customHeight="1">
      <c r="A18" s="25">
        <v>14</v>
      </c>
      <c r="B18" s="23" t="s">
        <v>448</v>
      </c>
      <c r="C18" s="23" t="s">
        <v>10</v>
      </c>
      <c r="D18" s="23" t="s">
        <v>449</v>
      </c>
      <c r="E18" s="23" t="s">
        <v>450</v>
      </c>
      <c r="F18" s="23" t="s">
        <v>451</v>
      </c>
      <c r="G18" s="23" t="s">
        <v>354</v>
      </c>
      <c r="H18" s="23" t="s">
        <v>452</v>
      </c>
      <c r="I18" s="23" t="s">
        <v>453</v>
      </c>
      <c r="J18" s="23" t="s">
        <v>454</v>
      </c>
      <c r="K18" s="23" t="s">
        <v>455</v>
      </c>
    </row>
    <row r="19" spans="1:26" ht="51" customHeight="1">
      <c r="A19" s="25">
        <v>15</v>
      </c>
      <c r="B19" s="23" t="s">
        <v>456</v>
      </c>
      <c r="C19" s="23" t="s">
        <v>31</v>
      </c>
      <c r="D19" s="23" t="s">
        <v>457</v>
      </c>
      <c r="E19" s="23" t="s">
        <v>458</v>
      </c>
      <c r="F19" s="23" t="s">
        <v>459</v>
      </c>
      <c r="G19" s="23" t="s">
        <v>354</v>
      </c>
      <c r="H19" s="23" t="s">
        <v>460</v>
      </c>
      <c r="I19" s="23" t="s">
        <v>461</v>
      </c>
      <c r="J19" s="23" t="s">
        <v>462</v>
      </c>
      <c r="K19" s="23" t="s">
        <v>463</v>
      </c>
    </row>
    <row r="20" spans="1:26" ht="51" customHeight="1">
      <c r="A20" s="25">
        <v>16</v>
      </c>
      <c r="B20" s="23" t="s">
        <v>464</v>
      </c>
      <c r="C20" s="23" t="s">
        <v>18</v>
      </c>
      <c r="D20" s="23" t="s">
        <v>465</v>
      </c>
      <c r="E20" s="23" t="s">
        <v>466</v>
      </c>
      <c r="F20" s="23" t="s">
        <v>467</v>
      </c>
      <c r="G20" s="23" t="s">
        <v>354</v>
      </c>
      <c r="H20" s="23" t="s">
        <v>468</v>
      </c>
      <c r="I20" s="23" t="s">
        <v>469</v>
      </c>
      <c r="J20" s="23" t="s">
        <v>470</v>
      </c>
      <c r="K20" s="23" t="s">
        <v>471</v>
      </c>
    </row>
    <row r="21" spans="1:26" ht="15.75" customHeight="1">
      <c r="A21" s="25">
        <v>17</v>
      </c>
      <c r="B21" s="23" t="s">
        <v>472</v>
      </c>
      <c r="C21" s="23" t="s">
        <v>15</v>
      </c>
      <c r="D21" s="23" t="s">
        <v>473</v>
      </c>
      <c r="E21" s="23" t="s">
        <v>474</v>
      </c>
      <c r="F21" s="23" t="s">
        <v>475</v>
      </c>
      <c r="G21" s="23" t="s">
        <v>354</v>
      </c>
      <c r="H21" s="23" t="s">
        <v>476</v>
      </c>
      <c r="I21" s="23" t="s">
        <v>477</v>
      </c>
      <c r="J21" s="23" t="s">
        <v>478</v>
      </c>
      <c r="K21" s="23" t="s">
        <v>479</v>
      </c>
    </row>
    <row r="22" spans="1:26" ht="15.75" customHeight="1">
      <c r="A22" s="25">
        <v>18</v>
      </c>
      <c r="B22" s="23" t="s">
        <v>480</v>
      </c>
      <c r="C22" s="23" t="s">
        <v>18</v>
      </c>
      <c r="D22" s="23" t="s">
        <v>481</v>
      </c>
      <c r="E22" s="23" t="s">
        <v>482</v>
      </c>
      <c r="F22" s="23" t="s">
        <v>483</v>
      </c>
      <c r="G22" s="23" t="s">
        <v>354</v>
      </c>
      <c r="H22" s="23" t="s">
        <v>484</v>
      </c>
      <c r="I22" s="23" t="s">
        <v>485</v>
      </c>
      <c r="J22" s="23" t="s">
        <v>486</v>
      </c>
      <c r="K22" s="23" t="s">
        <v>487</v>
      </c>
    </row>
    <row r="23" spans="1:26" ht="15.75" customHeight="1">
      <c r="A23" s="25">
        <v>19</v>
      </c>
      <c r="B23" s="23" t="s">
        <v>488</v>
      </c>
      <c r="C23" s="23" t="s">
        <v>10</v>
      </c>
      <c r="D23" s="23" t="s">
        <v>489</v>
      </c>
      <c r="E23" s="23" t="s">
        <v>490</v>
      </c>
      <c r="F23" s="23" t="s">
        <v>491</v>
      </c>
      <c r="G23" s="23" t="s">
        <v>354</v>
      </c>
      <c r="H23" s="23" t="s">
        <v>492</v>
      </c>
      <c r="I23" s="23" t="s">
        <v>493</v>
      </c>
      <c r="J23" s="23" t="s">
        <v>494</v>
      </c>
      <c r="K23" s="23" t="s">
        <v>495</v>
      </c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25">
        <v>20</v>
      </c>
      <c r="B24" s="23" t="s">
        <v>496</v>
      </c>
      <c r="C24" s="23" t="s">
        <v>10</v>
      </c>
      <c r="D24" s="23" t="s">
        <v>497</v>
      </c>
      <c r="E24" s="23" t="s">
        <v>498</v>
      </c>
      <c r="F24" s="23" t="s">
        <v>499</v>
      </c>
      <c r="G24" s="23" t="s">
        <v>354</v>
      </c>
      <c r="H24" s="23" t="s">
        <v>500</v>
      </c>
      <c r="I24" s="23" t="s">
        <v>501</v>
      </c>
      <c r="J24" s="23" t="s">
        <v>502</v>
      </c>
      <c r="K24" s="23" t="s">
        <v>503</v>
      </c>
    </row>
    <row r="25" spans="1:26" ht="15.75" customHeight="1">
      <c r="A25" s="25">
        <v>21</v>
      </c>
      <c r="B25" s="23" t="s">
        <v>504</v>
      </c>
      <c r="C25" s="23" t="s">
        <v>21</v>
      </c>
      <c r="D25" s="23" t="s">
        <v>505</v>
      </c>
      <c r="E25" s="23" t="s">
        <v>506</v>
      </c>
      <c r="F25" s="23" t="s">
        <v>507</v>
      </c>
      <c r="G25" s="23" t="s">
        <v>354</v>
      </c>
      <c r="H25" s="23" t="s">
        <v>508</v>
      </c>
      <c r="I25" s="23" t="s">
        <v>509</v>
      </c>
      <c r="J25" s="23" t="s">
        <v>510</v>
      </c>
      <c r="K25" s="23" t="s">
        <v>511</v>
      </c>
    </row>
    <row r="26" spans="1:26" ht="15.75" customHeight="1">
      <c r="A26" s="25">
        <v>22</v>
      </c>
      <c r="B26" s="23" t="s">
        <v>512</v>
      </c>
      <c r="C26" s="23" t="s">
        <v>18</v>
      </c>
      <c r="D26" s="23" t="s">
        <v>513</v>
      </c>
      <c r="E26" s="23" t="s">
        <v>514</v>
      </c>
      <c r="F26" s="23" t="s">
        <v>515</v>
      </c>
      <c r="G26" s="23" t="s">
        <v>354</v>
      </c>
      <c r="H26" s="23" t="s">
        <v>516</v>
      </c>
      <c r="I26" s="23" t="s">
        <v>517</v>
      </c>
      <c r="J26" s="23" t="s">
        <v>518</v>
      </c>
      <c r="K26" s="23" t="s">
        <v>519</v>
      </c>
    </row>
    <row r="27" spans="1:26" ht="15.75" customHeight="1">
      <c r="A27" s="25">
        <v>23</v>
      </c>
      <c r="B27" s="23" t="s">
        <v>520</v>
      </c>
      <c r="C27" s="23" t="s">
        <v>21</v>
      </c>
      <c r="D27" s="23" t="s">
        <v>521</v>
      </c>
      <c r="E27" s="23" t="s">
        <v>522</v>
      </c>
      <c r="F27" s="23" t="s">
        <v>523</v>
      </c>
      <c r="G27" s="23" t="s">
        <v>354</v>
      </c>
      <c r="H27" s="23" t="s">
        <v>524</v>
      </c>
      <c r="I27" s="23" t="s">
        <v>525</v>
      </c>
      <c r="J27" s="23" t="s">
        <v>526</v>
      </c>
      <c r="K27" s="23" t="s">
        <v>527</v>
      </c>
    </row>
    <row r="28" spans="1:26" ht="15.75" customHeight="1">
      <c r="A28" s="25">
        <v>24</v>
      </c>
      <c r="B28" s="23" t="s">
        <v>528</v>
      </c>
      <c r="C28" s="23" t="s">
        <v>21</v>
      </c>
      <c r="D28" s="23" t="s">
        <v>529</v>
      </c>
      <c r="E28" s="23" t="s">
        <v>530</v>
      </c>
      <c r="F28" s="23" t="s">
        <v>531</v>
      </c>
      <c r="G28" s="23" t="s">
        <v>354</v>
      </c>
      <c r="H28" s="23" t="s">
        <v>532</v>
      </c>
      <c r="I28" s="23" t="s">
        <v>533</v>
      </c>
      <c r="J28" s="23" t="s">
        <v>534</v>
      </c>
      <c r="K28" s="23" t="s">
        <v>535</v>
      </c>
    </row>
    <row r="29" spans="1:26" ht="15.75" customHeight="1">
      <c r="A29" s="25">
        <v>25</v>
      </c>
      <c r="B29" s="23" t="s">
        <v>536</v>
      </c>
      <c r="C29" s="23" t="s">
        <v>537</v>
      </c>
      <c r="D29" s="23" t="s">
        <v>538</v>
      </c>
      <c r="E29" s="23" t="s">
        <v>539</v>
      </c>
      <c r="F29" s="23" t="s">
        <v>540</v>
      </c>
      <c r="G29" s="23" t="s">
        <v>354</v>
      </c>
      <c r="H29" s="23" t="s">
        <v>541</v>
      </c>
      <c r="I29" s="23" t="s">
        <v>542</v>
      </c>
      <c r="J29" s="23" t="s">
        <v>543</v>
      </c>
      <c r="K29" s="23" t="s">
        <v>544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37">
        <v>26</v>
      </c>
      <c r="B30" s="30" t="s">
        <v>545</v>
      </c>
      <c r="C30" s="30" t="s">
        <v>18</v>
      </c>
      <c r="D30" s="30" t="s">
        <v>546</v>
      </c>
      <c r="E30" s="30" t="s">
        <v>547</v>
      </c>
      <c r="F30" s="30" t="s">
        <v>548</v>
      </c>
      <c r="G30" s="30" t="s">
        <v>549</v>
      </c>
      <c r="H30" s="30" t="s">
        <v>550</v>
      </c>
      <c r="I30" s="30" t="s">
        <v>372</v>
      </c>
      <c r="J30" s="30" t="s">
        <v>551</v>
      </c>
      <c r="K30" s="30" t="s">
        <v>374</v>
      </c>
    </row>
    <row r="31" spans="1:26" ht="15.75" customHeight="1">
      <c r="A31" s="22"/>
      <c r="B31" s="23"/>
      <c r="C31" s="23"/>
      <c r="D31" s="23"/>
      <c r="E31" s="23"/>
      <c r="F31" s="23"/>
      <c r="G31" s="23"/>
      <c r="H31" s="23"/>
      <c r="I31" s="23"/>
      <c r="J31" s="23"/>
      <c r="K31" s="23"/>
    </row>
    <row r="32" spans="1:26" ht="15.75" customHeight="1">
      <c r="A32" s="22"/>
      <c r="B32" s="23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5.75" customHeight="1">
      <c r="A33" s="22"/>
      <c r="B33" s="23"/>
      <c r="C33" s="23"/>
      <c r="D33" s="23"/>
      <c r="E33" s="23"/>
      <c r="F33" s="23"/>
      <c r="G33" s="23"/>
      <c r="H33" s="23"/>
      <c r="I33" s="23"/>
      <c r="J33" s="23"/>
      <c r="K33" s="23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K2"/>
    <mergeCell ref="A1:K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opLeftCell="A13" workbookViewId="0">
      <selection activeCell="C24" sqref="C24"/>
    </sheetView>
  </sheetViews>
  <sheetFormatPr defaultColWidth="12.625" defaultRowHeight="14.25"/>
  <cols>
    <col min="1" max="1" width="6" style="48" customWidth="1"/>
    <col min="2" max="2" width="38" style="48" customWidth="1"/>
    <col min="3" max="3" width="42" style="48" customWidth="1"/>
    <col min="4" max="4" width="10" style="48" customWidth="1"/>
    <col min="5" max="5" width="64" style="48" customWidth="1"/>
    <col min="6" max="6" width="60" style="48" customWidth="1"/>
    <col min="7" max="7" width="18" style="48" customWidth="1"/>
    <col min="8" max="8" width="50" style="48" customWidth="1"/>
    <col min="9" max="26" width="8.625" style="48" customWidth="1"/>
  </cols>
  <sheetData>
    <row r="1" spans="1:8" ht="36" customHeight="1">
      <c r="A1" s="58" t="s">
        <v>552</v>
      </c>
      <c r="B1" s="50"/>
      <c r="C1" s="50"/>
      <c r="D1" s="50"/>
      <c r="E1" s="50"/>
      <c r="F1" s="50"/>
      <c r="G1" s="50"/>
      <c r="H1" s="50"/>
    </row>
    <row r="2" spans="1:8" ht="31.5" customHeight="1">
      <c r="A2" s="49" t="s">
        <v>553</v>
      </c>
      <c r="B2" s="50"/>
      <c r="C2" s="50"/>
      <c r="D2" s="50"/>
      <c r="E2" s="50"/>
      <c r="F2" s="50"/>
      <c r="G2" s="50"/>
      <c r="H2" s="50"/>
    </row>
    <row r="3" spans="1:8">
      <c r="A3" s="1"/>
      <c r="B3" s="1"/>
      <c r="C3" s="1"/>
      <c r="D3" s="1"/>
      <c r="E3" s="1"/>
      <c r="F3" s="1"/>
      <c r="G3" s="1"/>
      <c r="H3" s="1"/>
    </row>
    <row r="4" spans="1:8" ht="33.75" customHeight="1">
      <c r="A4" s="9" t="s">
        <v>39</v>
      </c>
      <c r="B4" s="11" t="s">
        <v>40</v>
      </c>
      <c r="C4" s="11" t="s">
        <v>41</v>
      </c>
      <c r="D4" s="11" t="s">
        <v>43</v>
      </c>
      <c r="E4" s="11" t="s">
        <v>554</v>
      </c>
      <c r="F4" s="11" t="s">
        <v>47</v>
      </c>
      <c r="G4" s="11" t="s">
        <v>555</v>
      </c>
      <c r="H4" s="12" t="s">
        <v>49</v>
      </c>
    </row>
    <row r="5" spans="1:8" ht="51" customHeight="1">
      <c r="A5" s="22">
        <v>1</v>
      </c>
      <c r="B5" s="23" t="s">
        <v>556</v>
      </c>
      <c r="C5" s="23" t="s">
        <v>557</v>
      </c>
      <c r="D5" s="23">
        <v>19027</v>
      </c>
      <c r="E5" s="23" t="s">
        <v>558</v>
      </c>
      <c r="F5" s="23" t="s">
        <v>559</v>
      </c>
      <c r="G5" s="23">
        <v>259</v>
      </c>
      <c r="H5" s="23" t="s">
        <v>560</v>
      </c>
    </row>
    <row r="6" spans="1:8" s="41" customFormat="1" ht="51" customHeight="1">
      <c r="A6" s="42">
        <v>2</v>
      </c>
      <c r="B6" s="43" t="s">
        <v>561</v>
      </c>
      <c r="C6" s="43" t="s">
        <v>562</v>
      </c>
      <c r="D6" s="43">
        <v>19049</v>
      </c>
      <c r="E6" s="43" t="s">
        <v>558</v>
      </c>
      <c r="F6" s="43" t="s">
        <v>563</v>
      </c>
      <c r="G6" s="43">
        <v>367</v>
      </c>
      <c r="H6" s="43" t="s">
        <v>564</v>
      </c>
    </row>
    <row r="7" spans="1:8" ht="51" customHeight="1">
      <c r="A7" s="22">
        <v>3</v>
      </c>
      <c r="B7" s="23" t="s">
        <v>565</v>
      </c>
      <c r="C7" s="23" t="s">
        <v>566</v>
      </c>
      <c r="D7" s="23">
        <v>19061</v>
      </c>
      <c r="E7" s="23" t="s">
        <v>558</v>
      </c>
      <c r="F7" s="23" t="s">
        <v>567</v>
      </c>
      <c r="G7" s="23">
        <v>486</v>
      </c>
      <c r="H7" s="23" t="s">
        <v>568</v>
      </c>
    </row>
    <row r="8" spans="1:8" ht="51" customHeight="1">
      <c r="A8" s="22">
        <v>4</v>
      </c>
      <c r="B8" s="23" t="s">
        <v>569</v>
      </c>
      <c r="C8" s="23" t="s">
        <v>570</v>
      </c>
      <c r="D8" s="23">
        <v>19020</v>
      </c>
      <c r="E8" s="23" t="s">
        <v>558</v>
      </c>
      <c r="F8" s="23" t="s">
        <v>571</v>
      </c>
      <c r="G8" s="23">
        <v>224</v>
      </c>
      <c r="H8" s="23" t="s">
        <v>572</v>
      </c>
    </row>
    <row r="9" spans="1:8" ht="51" customHeight="1">
      <c r="A9" s="22">
        <v>5</v>
      </c>
      <c r="B9" s="23" t="s">
        <v>573</v>
      </c>
      <c r="C9" s="23" t="s">
        <v>574</v>
      </c>
      <c r="D9" s="23">
        <v>19500</v>
      </c>
      <c r="E9" s="23" t="s">
        <v>558</v>
      </c>
      <c r="F9" s="23" t="s">
        <v>575</v>
      </c>
      <c r="G9" s="23">
        <v>233</v>
      </c>
      <c r="H9" s="23" t="s">
        <v>576</v>
      </c>
    </row>
    <row r="10" spans="1:8" ht="51" customHeight="1">
      <c r="A10" s="22">
        <v>6</v>
      </c>
      <c r="B10" s="23" t="s">
        <v>577</v>
      </c>
      <c r="C10" s="23" t="s">
        <v>578</v>
      </c>
      <c r="D10" s="23">
        <v>19052</v>
      </c>
      <c r="E10" s="23" t="s">
        <v>558</v>
      </c>
      <c r="F10" s="23" t="s">
        <v>579</v>
      </c>
      <c r="G10" s="23">
        <v>391</v>
      </c>
      <c r="H10" s="23" t="s">
        <v>580</v>
      </c>
    </row>
    <row r="11" spans="1:8" ht="51" customHeight="1">
      <c r="A11" s="22">
        <v>7</v>
      </c>
      <c r="B11" s="23" t="s">
        <v>581</v>
      </c>
      <c r="C11" s="23" t="s">
        <v>582</v>
      </c>
      <c r="D11" s="23">
        <v>19034</v>
      </c>
      <c r="E11" s="23" t="s">
        <v>558</v>
      </c>
      <c r="F11" s="23" t="s">
        <v>583</v>
      </c>
      <c r="G11" s="23">
        <v>295</v>
      </c>
      <c r="H11" s="23" t="s">
        <v>584</v>
      </c>
    </row>
    <row r="12" spans="1:8" ht="51" customHeight="1">
      <c r="A12" s="22">
        <v>8</v>
      </c>
      <c r="B12" s="23" t="s">
        <v>585</v>
      </c>
      <c r="C12" s="23" t="s">
        <v>586</v>
      </c>
      <c r="D12" s="23">
        <v>19064</v>
      </c>
      <c r="E12" s="23" t="s">
        <v>558</v>
      </c>
      <c r="F12" s="23" t="s">
        <v>587</v>
      </c>
      <c r="G12" s="23">
        <v>513</v>
      </c>
      <c r="H12" s="23" t="s">
        <v>588</v>
      </c>
    </row>
    <row r="13" spans="1:8" ht="51" customHeight="1">
      <c r="A13" s="22">
        <v>9</v>
      </c>
      <c r="B13" s="23" t="s">
        <v>589</v>
      </c>
      <c r="C13" s="23" t="s">
        <v>590</v>
      </c>
      <c r="D13" s="23">
        <v>19047</v>
      </c>
      <c r="E13" s="23" t="s">
        <v>558</v>
      </c>
      <c r="F13" s="23" t="s">
        <v>591</v>
      </c>
      <c r="G13" s="23">
        <v>346</v>
      </c>
      <c r="H13" s="23" t="s">
        <v>592</v>
      </c>
    </row>
    <row r="14" spans="1:8" ht="51" customHeight="1">
      <c r="A14" s="22">
        <v>10</v>
      </c>
      <c r="B14" s="23" t="s">
        <v>593</v>
      </c>
      <c r="C14" s="23" t="s">
        <v>594</v>
      </c>
      <c r="D14" s="23">
        <v>19050</v>
      </c>
      <c r="E14" s="23" t="s">
        <v>558</v>
      </c>
      <c r="F14" s="23" t="s">
        <v>595</v>
      </c>
      <c r="G14" s="23">
        <v>370</v>
      </c>
      <c r="H14" s="23" t="s">
        <v>596</v>
      </c>
    </row>
    <row r="15" spans="1:8" ht="51" customHeight="1">
      <c r="A15" s="22">
        <v>11</v>
      </c>
      <c r="B15" s="23" t="s">
        <v>597</v>
      </c>
      <c r="C15" s="23" t="s">
        <v>598</v>
      </c>
      <c r="D15" s="23">
        <v>19075</v>
      </c>
      <c r="E15" s="23" t="s">
        <v>558</v>
      </c>
      <c r="F15" s="23" t="s">
        <v>599</v>
      </c>
      <c r="G15" s="23">
        <v>615</v>
      </c>
      <c r="H15" s="23" t="s">
        <v>600</v>
      </c>
    </row>
    <row r="16" spans="1:8" ht="51" customHeight="1">
      <c r="A16" s="22">
        <v>12</v>
      </c>
      <c r="B16" s="23" t="s">
        <v>601</v>
      </c>
      <c r="C16" s="23" t="s">
        <v>602</v>
      </c>
      <c r="D16" s="23">
        <v>19076</v>
      </c>
      <c r="E16" s="23" t="s">
        <v>558</v>
      </c>
      <c r="F16" s="23" t="s">
        <v>603</v>
      </c>
      <c r="G16" s="23">
        <v>625</v>
      </c>
      <c r="H16" s="23" t="s">
        <v>604</v>
      </c>
    </row>
    <row r="17" spans="1:26" ht="51" customHeight="1">
      <c r="A17" s="22">
        <v>13</v>
      </c>
      <c r="B17" s="23" t="s">
        <v>605</v>
      </c>
      <c r="C17" s="23" t="s">
        <v>606</v>
      </c>
      <c r="D17" s="23">
        <v>19033</v>
      </c>
      <c r="E17" s="23" t="s">
        <v>558</v>
      </c>
      <c r="F17" s="23" t="s">
        <v>607</v>
      </c>
      <c r="G17" s="23">
        <v>289</v>
      </c>
      <c r="H17" s="23" t="s">
        <v>608</v>
      </c>
    </row>
    <row r="18" spans="1:26" ht="51" customHeight="1">
      <c r="A18" s="22">
        <v>14</v>
      </c>
      <c r="B18" s="23" t="s">
        <v>609</v>
      </c>
      <c r="C18" s="23" t="s">
        <v>610</v>
      </c>
      <c r="D18" s="23">
        <v>19032</v>
      </c>
      <c r="E18" s="23" t="s">
        <v>558</v>
      </c>
      <c r="F18" s="23" t="s">
        <v>611</v>
      </c>
      <c r="G18" s="23">
        <v>283</v>
      </c>
      <c r="H18" s="23" t="s">
        <v>612</v>
      </c>
    </row>
    <row r="19" spans="1:26" ht="51" customHeight="1">
      <c r="A19" s="22">
        <v>15</v>
      </c>
      <c r="B19" s="23" t="s">
        <v>613</v>
      </c>
      <c r="C19" s="23" t="s">
        <v>614</v>
      </c>
      <c r="D19" s="23">
        <v>19053</v>
      </c>
      <c r="E19" s="23" t="s">
        <v>558</v>
      </c>
      <c r="F19" s="23" t="s">
        <v>615</v>
      </c>
      <c r="G19" s="23">
        <v>398</v>
      </c>
      <c r="H19" s="23" t="s">
        <v>616</v>
      </c>
    </row>
    <row r="20" spans="1:26" ht="51" customHeight="1">
      <c r="A20" s="22">
        <v>16</v>
      </c>
      <c r="B20" s="23" t="s">
        <v>617</v>
      </c>
      <c r="C20" s="23" t="s">
        <v>618</v>
      </c>
      <c r="D20" s="23">
        <v>19063</v>
      </c>
      <c r="E20" s="23" t="s">
        <v>558</v>
      </c>
      <c r="F20" s="23" t="s">
        <v>619</v>
      </c>
      <c r="G20" s="23">
        <v>509</v>
      </c>
      <c r="H20" s="23" t="s">
        <v>620</v>
      </c>
    </row>
    <row r="21" spans="1:26" ht="15.75" customHeight="1">
      <c r="A21" s="22">
        <v>17</v>
      </c>
      <c r="B21" s="23" t="s">
        <v>621</v>
      </c>
      <c r="C21" s="23" t="s">
        <v>622</v>
      </c>
      <c r="D21" s="23">
        <v>19022</v>
      </c>
      <c r="E21" s="23" t="s">
        <v>558</v>
      </c>
      <c r="F21" s="23" t="s">
        <v>623</v>
      </c>
      <c r="G21" s="23">
        <v>242</v>
      </c>
      <c r="H21" s="23" t="s">
        <v>624</v>
      </c>
    </row>
    <row r="22" spans="1:26" ht="15.75" customHeight="1">
      <c r="A22" s="22">
        <v>18</v>
      </c>
      <c r="B22" s="23" t="s">
        <v>625</v>
      </c>
      <c r="C22" s="23" t="s">
        <v>626</v>
      </c>
      <c r="D22" s="23">
        <v>19026</v>
      </c>
      <c r="E22" s="23" t="s">
        <v>558</v>
      </c>
      <c r="F22" s="23" t="s">
        <v>627</v>
      </c>
      <c r="G22" s="23">
        <v>256</v>
      </c>
      <c r="H22" s="23" t="s">
        <v>628</v>
      </c>
    </row>
    <row r="23" spans="1:26" ht="15.75" customHeight="1">
      <c r="A23" s="22">
        <v>19</v>
      </c>
      <c r="B23" s="23" t="s">
        <v>629</v>
      </c>
      <c r="C23" s="23" t="s">
        <v>630</v>
      </c>
      <c r="D23" s="23">
        <v>19070</v>
      </c>
      <c r="E23" s="23" t="s">
        <v>558</v>
      </c>
      <c r="F23" s="23" t="s">
        <v>631</v>
      </c>
      <c r="G23" s="23">
        <v>579</v>
      </c>
      <c r="H23" s="23" t="s">
        <v>632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22">
        <v>20</v>
      </c>
      <c r="B24" s="23" t="s">
        <v>633</v>
      </c>
      <c r="C24" s="23" t="s">
        <v>634</v>
      </c>
      <c r="D24" s="23">
        <v>19066</v>
      </c>
      <c r="E24" s="23" t="s">
        <v>558</v>
      </c>
      <c r="F24" s="23" t="s">
        <v>635</v>
      </c>
      <c r="G24" s="23">
        <v>538</v>
      </c>
      <c r="H24" s="23" t="s">
        <v>636</v>
      </c>
    </row>
    <row r="25" spans="1:26" ht="15.75" customHeight="1">
      <c r="A25" s="22">
        <v>21</v>
      </c>
      <c r="B25" s="23" t="s">
        <v>637</v>
      </c>
      <c r="C25" s="23" t="s">
        <v>638</v>
      </c>
      <c r="D25" s="23">
        <v>19071</v>
      </c>
      <c r="E25" s="23" t="s">
        <v>558</v>
      </c>
      <c r="F25" s="23" t="s">
        <v>639</v>
      </c>
      <c r="G25" s="23">
        <v>587</v>
      </c>
      <c r="H25" s="23" t="s">
        <v>640</v>
      </c>
    </row>
    <row r="26" spans="1:26" ht="15.75" customHeight="1">
      <c r="A26" s="22">
        <v>22</v>
      </c>
      <c r="B26" s="23" t="s">
        <v>641</v>
      </c>
      <c r="C26" s="23" t="s">
        <v>642</v>
      </c>
      <c r="D26" s="23">
        <v>19073</v>
      </c>
      <c r="E26" s="23" t="s">
        <v>558</v>
      </c>
      <c r="F26" s="23" t="s">
        <v>643</v>
      </c>
      <c r="G26" s="23">
        <v>602</v>
      </c>
      <c r="H26" s="23" t="s">
        <v>644</v>
      </c>
    </row>
    <row r="27" spans="1:26" ht="15.75" customHeight="1">
      <c r="A27" s="22">
        <v>23</v>
      </c>
      <c r="B27" s="23" t="s">
        <v>645</v>
      </c>
      <c r="C27" s="23" t="s">
        <v>646</v>
      </c>
      <c r="D27" s="23">
        <v>19074</v>
      </c>
      <c r="E27" s="23" t="s">
        <v>558</v>
      </c>
      <c r="F27" s="23" t="s">
        <v>647</v>
      </c>
      <c r="G27" s="23">
        <v>608</v>
      </c>
      <c r="H27" s="23" t="s">
        <v>648</v>
      </c>
    </row>
    <row r="28" spans="1:26" ht="15.75" customHeight="1">
      <c r="A28" s="22"/>
      <c r="B28" s="23"/>
      <c r="C28" s="23"/>
      <c r="D28" s="23"/>
      <c r="E28" s="23"/>
      <c r="F28" s="23"/>
      <c r="G28" s="23"/>
      <c r="H28" s="23"/>
    </row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H2"/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topLeftCell="A5" workbookViewId="0">
      <selection sqref="A1:F1"/>
    </sheetView>
  </sheetViews>
  <sheetFormatPr defaultColWidth="12.625" defaultRowHeight="14.25"/>
  <cols>
    <col min="1" max="1" width="22" style="48" customWidth="1"/>
    <col min="2" max="2" width="38" style="48" customWidth="1"/>
    <col min="3" max="3" width="62" style="48" customWidth="1"/>
    <col min="4" max="4" width="52" style="48" customWidth="1"/>
    <col min="5" max="5" width="54" style="48" customWidth="1"/>
    <col min="6" max="6" width="32" style="48" customWidth="1"/>
    <col min="7" max="26" width="8.625" style="48" customWidth="1"/>
  </cols>
  <sheetData>
    <row r="1" spans="1:6" ht="36" customHeight="1">
      <c r="A1" s="58" t="s">
        <v>649</v>
      </c>
      <c r="B1" s="50"/>
      <c r="C1" s="50"/>
      <c r="D1" s="50"/>
      <c r="E1" s="50"/>
      <c r="F1" s="50"/>
    </row>
    <row r="2" spans="1:6" ht="31.5" customHeight="1">
      <c r="A2" s="49" t="s">
        <v>650</v>
      </c>
      <c r="B2" s="50"/>
      <c r="C2" s="50"/>
      <c r="D2" s="50"/>
      <c r="E2" s="50"/>
      <c r="F2" s="50"/>
    </row>
    <row r="3" spans="1:6">
      <c r="A3" s="1"/>
      <c r="B3" s="1"/>
      <c r="C3" s="1"/>
      <c r="D3" s="1"/>
      <c r="E3" s="1"/>
      <c r="F3" s="1"/>
    </row>
    <row r="4" spans="1:6" ht="33.75" customHeight="1">
      <c r="A4" s="9" t="s">
        <v>651</v>
      </c>
      <c r="B4" s="11" t="s">
        <v>652</v>
      </c>
      <c r="C4" s="11" t="s">
        <v>653</v>
      </c>
      <c r="D4" s="11" t="s">
        <v>654</v>
      </c>
      <c r="E4" s="11" t="s">
        <v>655</v>
      </c>
      <c r="F4" s="12" t="s">
        <v>656</v>
      </c>
    </row>
    <row r="5" spans="1:6" ht="51" customHeight="1">
      <c r="A5" s="13" t="s">
        <v>657</v>
      </c>
      <c r="B5" s="13" t="s">
        <v>658</v>
      </c>
      <c r="C5" s="13" t="s">
        <v>659</v>
      </c>
      <c r="D5" s="13" t="s">
        <v>660</v>
      </c>
      <c r="E5" s="13" t="s">
        <v>661</v>
      </c>
      <c r="F5" s="13" t="s">
        <v>662</v>
      </c>
    </row>
    <row r="6" spans="1:6" ht="51" customHeight="1">
      <c r="A6" s="13" t="s">
        <v>663</v>
      </c>
      <c r="B6" s="13" t="s">
        <v>664</v>
      </c>
      <c r="C6" s="13" t="s">
        <v>665</v>
      </c>
      <c r="D6" s="13" t="s">
        <v>666</v>
      </c>
      <c r="E6" s="13" t="s">
        <v>667</v>
      </c>
      <c r="F6" s="13" t="s">
        <v>668</v>
      </c>
    </row>
    <row r="7" spans="1:6" ht="38.25" customHeight="1">
      <c r="A7" s="13" t="s">
        <v>669</v>
      </c>
      <c r="B7" s="13" t="s">
        <v>670</v>
      </c>
      <c r="C7" s="13" t="s">
        <v>671</v>
      </c>
      <c r="D7" s="13" t="s">
        <v>672</v>
      </c>
      <c r="E7" s="13" t="s">
        <v>673</v>
      </c>
      <c r="F7" s="13" t="s">
        <v>674</v>
      </c>
    </row>
    <row r="8" spans="1:6" ht="51" customHeight="1">
      <c r="A8" s="13" t="s">
        <v>675</v>
      </c>
      <c r="B8" s="13" t="s">
        <v>676</v>
      </c>
      <c r="C8" s="13" t="s">
        <v>677</v>
      </c>
      <c r="D8" s="13" t="s">
        <v>678</v>
      </c>
      <c r="E8" s="13" t="s">
        <v>679</v>
      </c>
      <c r="F8" s="13" t="s">
        <v>680</v>
      </c>
    </row>
    <row r="9" spans="1:6" ht="38.25" customHeight="1">
      <c r="A9" s="13" t="s">
        <v>681</v>
      </c>
      <c r="B9" s="13" t="s">
        <v>682</v>
      </c>
      <c r="C9" s="13" t="s">
        <v>683</v>
      </c>
      <c r="D9" s="13" t="s">
        <v>684</v>
      </c>
      <c r="E9" s="13" t="s">
        <v>685</v>
      </c>
      <c r="F9" s="13" t="s">
        <v>686</v>
      </c>
    </row>
    <row r="10" spans="1:6" ht="38.25" customHeight="1">
      <c r="A10" s="13" t="s">
        <v>687</v>
      </c>
      <c r="B10" s="13" t="s">
        <v>688</v>
      </c>
      <c r="C10" s="13" t="s">
        <v>689</v>
      </c>
      <c r="D10" s="13" t="s">
        <v>690</v>
      </c>
      <c r="E10" s="13" t="s">
        <v>691</v>
      </c>
      <c r="F10" s="13" t="s">
        <v>692</v>
      </c>
    </row>
    <row r="11" spans="1:6" ht="51" customHeight="1">
      <c r="A11" s="13" t="s">
        <v>693</v>
      </c>
      <c r="B11" s="13" t="s">
        <v>694</v>
      </c>
      <c r="C11" s="13" t="s">
        <v>695</v>
      </c>
      <c r="D11" s="13" t="s">
        <v>696</v>
      </c>
      <c r="E11" s="13" t="s">
        <v>697</v>
      </c>
      <c r="F11" s="13" t="s">
        <v>698</v>
      </c>
    </row>
    <row r="12" spans="1:6" ht="51" customHeight="1">
      <c r="A12" s="13" t="s">
        <v>699</v>
      </c>
      <c r="B12" s="13" t="s">
        <v>700</v>
      </c>
      <c r="C12" s="13" t="s">
        <v>701</v>
      </c>
      <c r="D12" s="13" t="s">
        <v>702</v>
      </c>
      <c r="E12" s="13" t="s">
        <v>703</v>
      </c>
      <c r="F12" s="13" t="s">
        <v>698</v>
      </c>
    </row>
    <row r="13" spans="1:6" ht="51" customHeight="1">
      <c r="A13" s="13" t="s">
        <v>704</v>
      </c>
      <c r="B13" s="13" t="s">
        <v>705</v>
      </c>
      <c r="C13" s="13" t="s">
        <v>706</v>
      </c>
      <c r="D13" s="13" t="s">
        <v>707</v>
      </c>
      <c r="E13" s="13" t="s">
        <v>708</v>
      </c>
      <c r="F13" s="13" t="s">
        <v>709</v>
      </c>
    </row>
    <row r="14" spans="1:6" ht="54" customHeight="1">
      <c r="A14" s="38" t="s">
        <v>710</v>
      </c>
      <c r="B14" s="38" t="s">
        <v>711</v>
      </c>
      <c r="C14" s="38" t="s">
        <v>712</v>
      </c>
      <c r="D14" s="38" t="s">
        <v>713</v>
      </c>
      <c r="E14" s="38" t="s">
        <v>374</v>
      </c>
      <c r="F14" s="38" t="s">
        <v>714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1:F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workbookViewId="0"/>
  </sheetViews>
  <sheetFormatPr defaultColWidth="12.625" defaultRowHeight="14.25"/>
  <cols>
    <col min="1" max="1" width="28" style="48" customWidth="1"/>
    <col min="2" max="2" width="116" style="48" customWidth="1"/>
    <col min="3" max="3" width="8.625" style="48" customWidth="1"/>
    <col min="4" max="4" width="18" style="48" customWidth="1"/>
    <col min="5" max="5" width="52" style="48" customWidth="1"/>
    <col min="6" max="6" width="40" style="48" customWidth="1"/>
    <col min="7" max="26" width="8.625" style="48" customWidth="1"/>
  </cols>
  <sheetData>
    <row r="1" spans="1:6" ht="36" customHeight="1">
      <c r="A1" s="58" t="s">
        <v>715</v>
      </c>
      <c r="B1" s="50"/>
      <c r="C1" s="50"/>
      <c r="D1" s="50"/>
      <c r="E1" s="50"/>
      <c r="F1" s="50"/>
    </row>
    <row r="2" spans="1:6" ht="31.5" customHeight="1">
      <c r="A2" s="49" t="s">
        <v>716</v>
      </c>
      <c r="B2" s="50"/>
      <c r="C2" s="50"/>
      <c r="D2" s="50"/>
      <c r="E2" s="50"/>
      <c r="F2" s="50"/>
    </row>
    <row r="3" spans="1:6">
      <c r="A3" s="1"/>
      <c r="B3" s="1"/>
      <c r="C3" s="1"/>
      <c r="D3" s="1"/>
      <c r="E3" s="1"/>
      <c r="F3" s="1"/>
    </row>
    <row r="4" spans="1:6" ht="33.75" customHeight="1">
      <c r="A4" s="18" t="s">
        <v>717</v>
      </c>
      <c r="B4" s="19" t="s">
        <v>718</v>
      </c>
      <c r="C4" s="1"/>
      <c r="D4" s="18" t="s">
        <v>51</v>
      </c>
      <c r="E4" s="20" t="s">
        <v>719</v>
      </c>
      <c r="F4" s="19" t="s">
        <v>720</v>
      </c>
    </row>
    <row r="5" spans="1:6" ht="37.5" customHeight="1">
      <c r="A5" s="21" t="s">
        <v>721</v>
      </c>
      <c r="B5" s="21" t="s">
        <v>722</v>
      </c>
      <c r="C5" s="1"/>
      <c r="D5" s="21" t="s">
        <v>62</v>
      </c>
      <c r="E5" s="21" t="s">
        <v>723</v>
      </c>
      <c r="F5" s="21" t="s">
        <v>724</v>
      </c>
    </row>
    <row r="6" spans="1:6" ht="37.5" customHeight="1">
      <c r="A6" s="21" t="s">
        <v>725</v>
      </c>
      <c r="B6" s="21" t="s">
        <v>726</v>
      </c>
      <c r="C6" s="1"/>
      <c r="D6" s="21" t="s">
        <v>225</v>
      </c>
      <c r="E6" s="21" t="s">
        <v>727</v>
      </c>
      <c r="F6" s="21" t="s">
        <v>728</v>
      </c>
    </row>
    <row r="7" spans="1:6" ht="37.5" customHeight="1">
      <c r="A7" s="21" t="s">
        <v>729</v>
      </c>
      <c r="B7" s="21" t="s">
        <v>730</v>
      </c>
      <c r="C7" s="1"/>
      <c r="D7" s="21" t="s">
        <v>731</v>
      </c>
      <c r="E7" s="21" t="s">
        <v>732</v>
      </c>
      <c r="F7" s="21" t="s">
        <v>733</v>
      </c>
    </row>
    <row r="8" spans="1:6" ht="37.5" customHeight="1">
      <c r="A8" s="21" t="s">
        <v>734</v>
      </c>
      <c r="B8" s="21" t="s">
        <v>735</v>
      </c>
      <c r="C8" s="1"/>
      <c r="D8" s="1"/>
      <c r="E8" s="1"/>
      <c r="F8" s="1"/>
    </row>
    <row r="9" spans="1:6" ht="37.5" customHeight="1">
      <c r="A9" s="21" t="s">
        <v>736</v>
      </c>
      <c r="B9" s="21" t="s">
        <v>737</v>
      </c>
      <c r="C9" s="1"/>
      <c r="D9" s="1"/>
      <c r="E9" s="1"/>
      <c r="F9" s="1"/>
    </row>
    <row r="10" spans="1:6" ht="37.5" customHeight="1">
      <c r="A10" s="21" t="s">
        <v>738</v>
      </c>
      <c r="B10" s="21" t="s">
        <v>739</v>
      </c>
      <c r="C10" s="1"/>
      <c r="D10" s="1"/>
      <c r="E10" s="1"/>
      <c r="F10" s="1"/>
    </row>
    <row r="11" spans="1:6" ht="37.5" customHeight="1">
      <c r="A11" s="21" t="s">
        <v>740</v>
      </c>
      <c r="B11" s="21" t="s">
        <v>741</v>
      </c>
      <c r="C11" s="1"/>
      <c r="D11" s="1"/>
      <c r="E11" s="1"/>
      <c r="F11" s="1"/>
    </row>
    <row r="12" spans="1:6" ht="37.5" customHeight="1">
      <c r="A12" s="21" t="s">
        <v>742</v>
      </c>
      <c r="B12" s="21" t="s">
        <v>743</v>
      </c>
      <c r="C12" s="1"/>
      <c r="D12" s="1"/>
      <c r="E12" s="1"/>
      <c r="F12" s="1"/>
    </row>
    <row r="13" spans="1:6" ht="37.5" customHeight="1">
      <c r="A13" s="21" t="s">
        <v>744</v>
      </c>
      <c r="B13" s="21" t="s">
        <v>745</v>
      </c>
      <c r="C13" s="1"/>
      <c r="D13" s="1"/>
      <c r="E13" s="1"/>
      <c r="F13" s="1"/>
    </row>
    <row r="14" spans="1:6" ht="37.5" customHeight="1">
      <c r="A14" s="21" t="s">
        <v>746</v>
      </c>
      <c r="B14" s="21" t="s">
        <v>747</v>
      </c>
      <c r="C14" s="1"/>
      <c r="D14" s="1"/>
      <c r="E14" s="1"/>
      <c r="F14" s="1"/>
    </row>
    <row r="15" spans="1:6" ht="37.5" customHeight="1">
      <c r="A15" s="21" t="s">
        <v>748</v>
      </c>
      <c r="B15" s="21" t="s">
        <v>749</v>
      </c>
      <c r="C15" s="1"/>
      <c r="D15" s="1"/>
      <c r="E15" s="1"/>
      <c r="F15" s="1"/>
    </row>
    <row r="16" spans="1:6">
      <c r="A16" s="26" t="s">
        <v>750</v>
      </c>
      <c r="B16" s="26" t="s">
        <v>751</v>
      </c>
      <c r="C16" s="26"/>
      <c r="D16" s="26"/>
      <c r="E16" s="26"/>
      <c r="F16" s="26"/>
    </row>
    <row r="17" spans="1:6">
      <c r="A17" s="27" t="s">
        <v>752</v>
      </c>
      <c r="B17" s="27" t="s">
        <v>753</v>
      </c>
      <c r="C17" s="27"/>
      <c r="D17" s="27"/>
      <c r="E17" s="27"/>
      <c r="F17" s="27"/>
    </row>
    <row r="18" spans="1:6">
      <c r="A18" s="24" t="s">
        <v>754</v>
      </c>
      <c r="B18" s="24" t="s">
        <v>755</v>
      </c>
      <c r="C18" s="24"/>
      <c r="D18" s="24"/>
      <c r="E18" s="24"/>
      <c r="F18" s="24"/>
    </row>
    <row r="19" spans="1:6" ht="54" customHeight="1">
      <c r="A19" s="38" t="s">
        <v>756</v>
      </c>
      <c r="B19" s="38" t="s">
        <v>757</v>
      </c>
      <c r="C19" s="38"/>
      <c r="D19" s="38" t="s">
        <v>62</v>
      </c>
      <c r="E19" s="38" t="s">
        <v>758</v>
      </c>
      <c r="F19" s="38" t="s">
        <v>759</v>
      </c>
    </row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quan</vt:lpstr>
      <vt:lpstr>Danh sách máy</vt:lpstr>
      <vt:lpstr>Mapping GTCEu</vt:lpstr>
      <vt:lpstr>Đối chiếu large_machine</vt:lpstr>
      <vt:lpstr>Ngoài phạm vi ZPM</vt:lpstr>
      <vt:lpstr>GTCEu API tham chiếu</vt:lpstr>
      <vt:lpstr>Phương pháp &amp; nguồn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Tiến Uy Tín</cp:lastModifiedBy>
  <dcterms:created xsi:type="dcterms:W3CDTF">2026-09-08T04:41:20Z</dcterms:created>
  <dcterms:modified xsi:type="dcterms:W3CDTF">2026-09-08T16:13:26Z</dcterms:modified>
</cp:coreProperties>
</file>