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tien\IdeaProjects\TST-Modern\outputs\tst-casing-texture-audit-gtceu-reuse-20260820\"/>
    </mc:Choice>
  </mc:AlternateContent>
  <xr:revisionPtr revIDLastSave="0" documentId="13_ncr:1_{C59FA840-7AAC-4DF4-8B2E-0364D183DF39}" xr6:coauthVersionLast="47" xr6:coauthVersionMax="47" xr10:uidLastSave="{00000000-0000-0000-0000-000000000000}"/>
  <bookViews>
    <workbookView xWindow="-120" yWindow="-120" windowWidth="29040" windowHeight="16440" firstSheet="3" activeTab="8" xr2:uid="{00000000-000D-0000-FFFF-FFFF00000000}"/>
  </bookViews>
  <sheets>
    <sheet name="Tổng quan" sheetId="1" r:id="rId1"/>
    <sheet name="Danh sách máy" sheetId="2" r:id="rId2"/>
    <sheet name="Mapping GTCEu" sheetId="3" r:id="rId3"/>
    <sheet name="Đối chiếu large_machine" sheetId="4" r:id="rId4"/>
    <sheet name="Ngoài phạm vi ZPM" sheetId="5" r:id="rId5"/>
    <sheet name="GTCEu API tham chiếu" sheetId="6" r:id="rId6"/>
    <sheet name="Phương pháp &amp; nguồn" sheetId="7" r:id="rId7"/>
    <sheet name="GTCEu có sẵn" sheetId="9" r:id="rId8"/>
    <sheet name="Block casing &amp; texture" sheetId="8" r:id="rId9"/>
  </sheets>
  <definedNames>
    <definedName name="_xlnm._FilterDatabase" localSheetId="8" hidden="1">'Block casing &amp; texture'!$A$6:$R$414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9" l="1"/>
  <c r="F3" i="9"/>
  <c r="D3" i="9"/>
  <c r="J3" i="8"/>
  <c r="H3" i="8"/>
  <c r="F3" i="8"/>
  <c r="D3" i="8"/>
  <c r="B3" i="8"/>
  <c r="E12" i="1"/>
  <c r="E11" i="1"/>
  <c r="E10" i="1"/>
  <c r="E9" i="1"/>
  <c r="B9" i="1"/>
  <c r="E8" i="1"/>
  <c r="B8" i="1"/>
  <c r="E7" i="1"/>
  <c r="B7" i="1"/>
  <c r="E6" i="1"/>
  <c r="E5" i="1"/>
  <c r="B6" i="1" l="1"/>
  <c r="B5" i="1" s="1"/>
  <c r="B10" i="1" l="1"/>
</calcChain>
</file>

<file path=xl/sharedStrings.xml><?xml version="1.0" encoding="utf-8"?>
<sst xmlns="http://schemas.openxmlformats.org/spreadsheetml/2006/main" count="6818" uniqueCount="1516">
  <si>
    <t>TST 1.7.10 → GTCEu 1.20.1 | Multiblock ZPM → Endgame</t>
  </si>
  <si>
    <t>Đã rà toàn bộ controller đăng ký trong MachineLoader. Danh sách chính chỉ giữ máy chưa có multiblock GTCEu/GCYM tương tự; dữ liệu máy lấy trực tiếp từ source code.</t>
  </si>
  <si>
    <t>Chỉ số audit</t>
  </si>
  <si>
    <t>Giá trị</t>
  </si>
  <si>
    <t>Mốc mở khóa</t>
  </si>
  <si>
    <t>Số máy giữ lại</t>
  </si>
  <si>
    <t>Ưu tiên</t>
  </si>
  <si>
    <t>Cách hiểu</t>
  </si>
  <si>
    <t>Lưu ý</t>
  </si>
  <si>
    <t>Controller multiblock active</t>
  </si>
  <si>
    <t>ZPM</t>
  </si>
  <si>
    <t>P1/P2</t>
  </si>
  <si>
    <t>Max(recipe EU/t, linh kiện tiered) = ZPM</t>
  </si>
  <si>
    <t>Chỉ đếm sheet Danh sách máy</t>
  </si>
  <si>
    <t>Ứng viên ZPM → endgame</t>
  </si>
  <si>
    <t>UV</t>
  </si>
  <si>
    <t>Max(recipe EU/t, linh kiện tiered) = UV</t>
  </si>
  <si>
    <t>Nên port: không trùng GTCEu</t>
  </si>
  <si>
    <t>UHV</t>
  </si>
  <si>
    <t>Max(recipe EU/t, linh kiện tiered) = UHV</t>
  </si>
  <si>
    <t>Đã loại: trùng large_machine</t>
  </si>
  <si>
    <t>UEV</t>
  </si>
  <si>
    <t>P3 endgame</t>
  </si>
  <si>
    <t>Max(recipe EU/t, linh kiện tiered) = UEV</t>
  </si>
  <si>
    <t>Ngoài phạm vi / dưới ZPM</t>
  </si>
  <si>
    <t>UIV</t>
  </si>
  <si>
    <t>Max(recipe EU/t, linh kiện tiered) = UIV</t>
  </si>
  <si>
    <t>Tỉ lệ ứng viên bị loại trùng</t>
  </si>
  <si>
    <t>UMV</t>
  </si>
  <si>
    <t>Max(recipe EU/t, linh kiện tiered) = UMV</t>
  </si>
  <si>
    <t>Người dùng loại theo màu đỏ</t>
  </si>
  <si>
    <t>UXV</t>
  </si>
  <si>
    <t>Max(recipe EU/t, linh kiện tiered) = UXV</t>
  </si>
  <si>
    <t>MAX</t>
  </si>
  <si>
    <t>Max(recipe EU/t, linh kiện tiered) = MAX</t>
  </si>
  <si>
    <t>Kết luận sau khi loại máy tương tự GTCEu</t>
  </si>
  <si>
    <t>Sau khi áp dụng quy tắc màu và audit lại source: xóa LargeCanner, BeeEngineer, MegaSolarPanelFactory; chuyển CoreDeviceOfHumanPowerGenerationFacility sang nhóm overlap vì đây là Fluid Heater, không phải máy phát điện; giữ DSPLauncher/DSPReceiver vì có subsystem Dyson Sphere riêng; giữ 5 dòng xanh trong backlog để mapping sau. Kết quả: 25 máy trong backlog, 26 máy loại do overlap, 23 máy ngoài phạm vi và 3 máy người dùng loại trực tiếp.</t>
  </si>
  <si>
    <t>Danh sách multiblock nên port</t>
  </si>
  <si>
    <t>Chỉ gồm máy ZPM–endgame chưa có multiblock GTCEu/GCYM đủ tương tự để thay thế. Mỗi dòng có class, path, recipe controller và URL commit cố định.</t>
  </si>
  <si>
    <t>STT</t>
  </si>
  <si>
    <t>Máy / controller</t>
  </si>
  <si>
    <t>Class</t>
  </si>
  <si>
    <t>Mốc mở khóa ước tính</t>
  </si>
  <si>
    <t>Meta ID</t>
  </si>
  <si>
    <t>Chức năng</t>
  </si>
  <si>
    <t>Recipe map / logic TST</t>
  </si>
  <si>
    <t>Cấu trúc</t>
  </si>
  <si>
    <t>Class path</t>
  </si>
  <si>
    <t>Recipe controller path</t>
  </si>
  <si>
    <t>URL class</t>
  </si>
  <si>
    <t>URL recipe</t>
  </si>
  <si>
    <t>Confidence</t>
  </si>
  <si>
    <t>Ghi chú quyết định</t>
  </si>
  <si>
    <t>GiantVacuumDryingFurnace</t>
  </si>
  <si>
    <t>TST_GiantVacuumDryingFurnace</t>
  </si>
  <si>
    <t>Sấy chân không / khử nước</t>
  </si>
  <si>
    <t>Vacuum furnace + chemical dehydrator maps</t>
  </si>
  <si>
    <t>StructureLib addShape/transpose trong class</t>
  </si>
  <si>
    <t>src/main/java/com/Nxer/TwistSpaceTechnology/common/machine/TST_GiantVacuumDryingFurnace.java</t>
  </si>
  <si>
    <t>src/main/java/com/Nxer/TwistSpaceTechnology/recipe/craftRecipe/machine/GTCMMachineRecipes.java:920</t>
  </si>
  <si>
    <t>https://github.com/Nxer/Twist-Space-Technology-Mod/blob/73571514cf8a1527db4975680456748ba32f373d/src/main/java/com/Nxer/TwistSpaceTechnology/common/machine/TST_GiantVacuumDryingFurnace.java</t>
  </si>
  <si>
    <t>https://github.com/Nxer/Twist-Space-Technology-Mod/blob/73571514cf8a1527db4975680456748ba32f373d/src/main/java/com/Nxer/TwistSpaceTechnology/recipe/craftRecipe/machine/GTCMMachineRecipes.java#L920</t>
  </si>
  <si>
    <t>High</t>
  </si>
  <si>
    <t>GIỮ: chưa có multiblock tương tự trong GTMultiMachines/GCYMMachines/GTResearchMachines ở commit đã kiểm tra.</t>
  </si>
  <si>
    <t>NetherInterface</t>
  </si>
  <si>
    <t>TST_NetherInterface</t>
  </si>
  <si>
    <t>Giao diện khai thác/tương tác Nether</t>
  </si>
  <si>
    <t>Nether Interface custom logic</t>
  </si>
  <si>
    <t>src/main/java/com/Nxer/TwistSpaceTechnology/common/machine/TST_NetherInterface.java</t>
  </si>
  <si>
    <t>src/main/java/com/Nxer/TwistSpaceTechnology/recipe/craftRecipe/machine/GTCMMachineRecipes.java:3586</t>
  </si>
  <si>
    <t>https://github.com/Nxer/Twist-Space-Technology-Mod/blob/73571514cf8a1527db4975680456748ba32f373d/src/main/java/com/Nxer/TwistSpaceTechnology/common/machine/TST_NetherInterface.java</t>
  </si>
  <si>
    <t>https://github.com/Nxer/Twist-Space-Technology-Mod/blob/73571514cf8a1527db4975680456748ba32f373d/src/main/java/com/Nxer/TwistSpaceTechnology/recipe/craftRecipe/machine/GTCMMachineRecipes.java#L3586</t>
  </si>
  <si>
    <t>HyperThermalConvector</t>
  </si>
  <si>
    <t>TST_HyperThermalConvector</t>
  </si>
  <si>
    <t>Trao đổi/chuyển đổi nhiệt đa chế độ</t>
  </si>
  <si>
    <t>GTCMRecipe.HyperThermalConvectorRecipes</t>
  </si>
  <si>
    <t>src/main/java/com/Nxer/TwistSpaceTechnology/common/machine/TST_HyperThermalConvector.java</t>
  </si>
  <si>
    <t>src/main/java/com/Nxer/TwistSpaceTechnology/recipe/craftRecipe/machine/SingleMachineRecipes.java:59</t>
  </si>
  <si>
    <t>https://github.com/Nxer/Twist-Space-Technology-Mod/blob/73571514cf8a1527db4975680456748ba32f373d/src/main/java/com/Nxer/TwistSpaceTechnology/common/machine/TST_HyperThermalConvector.java</t>
  </si>
  <si>
    <t>https://github.com/Nxer/Twist-Space-Technology-Mod/blob/73571514cf8a1527db4975680456748ba32f373d/src/main/java/com/Nxer/TwistSpaceTechnology/recipe/craftRecipe/machine/SingleMachineRecipes.java#L59</t>
  </si>
  <si>
    <t>MegaTreeFarm</t>
  </si>
  <si>
    <t>TST_MegaTreeFarm</t>
  </si>
  <si>
    <t>Eco-sphere/tree farm đa chức năng</t>
  </si>
  <si>
    <t>EcoSphere simulator custom maps</t>
  </si>
  <si>
    <t>src/main/java/com/Nxer/TwistSpaceTechnology/common/machine/TST_MegaTreeFarm.java</t>
  </si>
  <si>
    <t>src/main/java/com/Nxer/TwistSpaceTechnology/system/Thaumcraft/TCRecipePool.java:113</t>
  </si>
  <si>
    <t>https://github.com/Nxer/Twist-Space-Technology-Mod/blob/73571514cf8a1527db4975680456748ba32f373d/src/main/java/com/Nxer/TwistSpaceTechnology/common/machine/TST_MegaTreeFarm.java</t>
  </si>
  <si>
    <t>https://github.com/Nxer/Twist-Space-Technology-Mod/blob/73571514cf8a1527db4975680456748ba32f373d/src/main/java/com/Nxer/TwistSpaceTechnology/system/Thaumcraft/TCRecipePool.java#L113</t>
  </si>
  <si>
    <t>Disassembler</t>
  </si>
  <si>
    <t>TST_Disassembler</t>
  </si>
  <si>
    <t>Tháo rã vật phẩm</t>
  </si>
  <si>
    <t>Disassembler custom logic</t>
  </si>
  <si>
    <t>src/main/java/com/Nxer/TwistSpaceTechnology/system/Disassembler/TST_Disassembler.java</t>
  </si>
  <si>
    <t>src/main/java/com/Nxer/TwistSpaceTechnology/recipe/craftRecipe/machine/GTCMMachineRecipes.java:2272</t>
  </si>
  <si>
    <t>https://github.com/Nxer/Twist-Space-Technology-Mod/blob/73571514cf8a1527db4975680456748ba32f373d/src/main/java/com/Nxer/TwistSpaceTechnology/system/Disassembler/TST_Disassembler.java</t>
  </si>
  <si>
    <t>https://github.com/Nxer/Twist-Space-Technology-Mod/blob/73571514cf8a1527db4975680456748ba32f373d/src/main/java/com/Nxer/TwistSpaceTechnology/recipe/craftRecipe/machine/GTCMMachineRecipes.java#L2272</t>
  </si>
  <si>
    <t>IncompactCyclotron</t>
  </si>
  <si>
    <t>TST_IncompactCyclotron</t>
  </si>
  <si>
    <t>Cyclotron thu gọn</t>
  </si>
  <si>
    <t>GTPPRecipeMaps.cyclotronRecipes</t>
  </si>
  <si>
    <t>src/main/java/com/Nxer/TwistSpaceTechnology/common/machine/TST_IncompactCyclotron.java</t>
  </si>
  <si>
    <t>src/main/java/com/Nxer/TwistSpaceTechnology/recipe/craftRecipe/machine/GTCMMachineRecipes.java:2823</t>
  </si>
  <si>
    <t>https://github.com/Nxer/Twist-Space-Technology-Mod/blob/73571514cf8a1527db4975680456748ba32f373d/src/main/java/com/Nxer/TwistSpaceTechnology/common/machine/TST_IncompactCyclotron.java</t>
  </si>
  <si>
    <t>https://github.com/Nxer/Twist-Space-Technology-Mod/blob/73571514cf8a1527db4975680456748ba32f373d/src/main/java/com/Nxer/TwistSpaceTechnology/recipe/craftRecipe/machine/GTCMMachineRecipes.java#L2823</t>
  </si>
  <si>
    <t>MegaStoneBreaker</t>
  </si>
  <si>
    <t>TST_MegaStoneBreaker</t>
  </si>
  <si>
    <t>Stone/rock breaker quy mô lớn</t>
  </si>
  <si>
    <t>GTCMRecipe.MegaStoneBreakerRecipes: 14 recipe circuit cho compressed cobblestone/stone/obsidian/netherrack/basalt/deepslate; output ×4 thường hoặc ×1024 khi đủ water + lava</t>
  </si>
  <si>
    <t>src/main/java/com/Nxer/TwistSpaceTechnology/common/machine/TST_MegaStoneBreaker.java</t>
  </si>
  <si>
    <t>src/main/java/com/Nxer/TwistSpaceTechnology/recipe/craftRecipe/machine/GTCMMachineRecipes.java:3021</t>
  </si>
  <si>
    <t>https://github.com/Nxer/Twist-Space-Technology-Mod/blob/73571514cf8a1527db4975680456748ba32f373d/src/main/java/com/Nxer/TwistSpaceTechnology/common/machine/TST_MegaStoneBreaker.java</t>
  </si>
  <si>
    <t>https://github.com/Nxer/Twist-Space-Technology-Mod/blob/73571514cf8a1527db4975680456748ba32f373d/src/main/java/com/Nxer/TwistSpaceTechnology/recipe/craftRecipe/machine/GTCMMachineRecipes.java#L3021</t>
  </si>
  <si>
    <t>GIỮ: recipe type và fluid-gated output multiplier là cơ chế riêng; GTCEu không có large rock generator tương đương.</t>
  </si>
  <si>
    <t>LargeNeutronOscillator</t>
  </si>
  <si>
    <t>MM_LargeNeutronOscillator</t>
  </si>
  <si>
    <t>Neutron activator dùng EU</t>
  </si>
  <si>
    <t>GTCMRecipe.NeutronActivatorRecipesWithEU</t>
  </si>
  <si>
    <t>src/main/java/com/Nxer/TwistSpaceTechnology/common/modularizedMachine/MM_LargeNeutronOscillator.java</t>
  </si>
  <si>
    <t>src/main/java/com/Nxer/TwistSpaceTechnology/recipe/craftRecipe/machine/GTCMMachineRecipes.java:3150</t>
  </si>
  <si>
    <t>https://github.com/Nxer/Twist-Space-Technology-Mod/blob/73571514cf8a1527db4975680456748ba32f373d/src/main/java/com/Nxer/TwistSpaceTechnology/common/modularizedMachine/MM_LargeNeutronOscillator.java</t>
  </si>
  <si>
    <t>https://github.com/Nxer/Twist-Space-Technology-Mod/blob/73571514cf8a1527db4975680456748ba32f373d/src/main/java/com/Nxer/TwistSpaceTechnology/recipe/craftRecipe/machine/GTCMMachineRecipes.java#L3150</t>
  </si>
  <si>
    <t>MegaNqReactor</t>
  </si>
  <si>
    <t>TST_MegaNqReactor</t>
  </si>
  <si>
    <t>Lò phản ứng Naquadah quy mô lớn</t>
  </si>
  <si>
    <t>GoodGeneratorRecipeMaps.naquadahReactorFuels</t>
  </si>
  <si>
    <t>src/main/java/com/Nxer/TwistSpaceTechnology/common/machine/GeneratorMultis/TST_MegaNqReactor.java</t>
  </si>
  <si>
    <t>src/main/java/com/Nxer/TwistSpaceTechnology/recipe/craftRecipe/machine/GTCMMachineRecipes.java:3739</t>
  </si>
  <si>
    <t>https://github.com/Nxer/Twist-Space-Technology-Mod/blob/73571514cf8a1527db4975680456748ba32f373d/src/main/java/com/Nxer/TwistSpaceTechnology/common/machine/GeneratorMultis/TST_MegaNqReactor.java</t>
  </si>
  <si>
    <t>https://github.com/Nxer/Twist-Space-Technology-Mod/blob/73571514cf8a1527db4975680456748ba32f373d/src/main/java/com/Nxer/TwistSpaceTechnology/recipe/craftRecipe/machine/GTCMMachineRecipes.java#L3739</t>
  </si>
  <si>
    <t>DSPLauncher</t>
  </si>
  <si>
    <t>TST_DSPLauncher</t>
  </si>
  <si>
    <t>Phóng solar sail/node cho Dyson Sphere</t>
  </si>
  <si>
    <t>GTCMRecipe.DSP_LauncherRecipes</t>
  </si>
  <si>
    <t>src/main/java/com/Nxer/TwistSpaceTechnology/system/DysonSphereProgram/machines/TST_DSPLauncher.java</t>
  </si>
  <si>
    <t>src/main/java/com/Nxer/TwistSpaceTechnology/recipe/machineRecipe/expanded/DSPRecipePool.java:175</t>
  </si>
  <si>
    <t>https://github.com/Nxer/Twist-Space-Technology-Mod/blob/73571514cf8a1527db4975680456748ba32f373d/src/main/java/com/Nxer/TwistSpaceTechnology/system/DysonSphereProgram/machines/TST_DSPLauncher.java</t>
  </si>
  <si>
    <t>https://github.com/Nxer/Twist-Space-Technology-Mod/blob/73571514cf8a1527db4975680456748ba32f373d/src/main/java/com/Nxer/TwistSpaceTechnology/recipe/machineRecipe/expanded/DSPRecipePool.java#L175</t>
  </si>
  <si>
    <t>DSPReceiver</t>
  </si>
  <si>
    <t>TST_DSPReceiver</t>
  </si>
  <si>
    <t>Nhận công suất từ Dyson Sphere</t>
  </si>
  <si>
    <t>GTCMRecipe.DSP_ReceiverRecipes</t>
  </si>
  <si>
    <t>src/main/java/com/Nxer/TwistSpaceTechnology/system/DysonSphereProgram/machines/TST_DSPReceiver.java</t>
  </si>
  <si>
    <t>src/main/java/com/Nxer/TwistSpaceTechnology/recipe/machineRecipe/expanded/DSPRecipePool.java:140</t>
  </si>
  <si>
    <t>https://github.com/Nxer/Twist-Space-Technology-Mod/blob/73571514cf8a1527db4975680456748ba32f373d/src/main/java/com/Nxer/TwistSpaceTechnology/system/DysonSphereProgram/machines/TST_DSPReceiver.java</t>
  </si>
  <si>
    <t>https://github.com/Nxer/Twist-Space-Technology-Mod/blob/73571514cf8a1527db4975680456748ba32f373d/src/main/java/com/Nxer/TwistSpaceTechnology/recipe/machineRecipe/expanded/DSPRecipePool.java#L140</t>
  </si>
  <si>
    <t>MicroSpaceTimeFabricatorio</t>
  </si>
  <si>
    <t>TST_MicroSpaceTimeFabricatorio</t>
  </si>
  <si>
    <t>Gia công spacetime</t>
  </si>
  <si>
    <t>GTCMRecipe.MicroSpaceTimeFabricatorioRecipes</t>
  </si>
  <si>
    <t>src/main/java/com/Nxer/TwistSpaceTechnology/common/machine/TST_MicroSpaceTimeFabricatorio.java</t>
  </si>
  <si>
    <t>src/main/java/com/Nxer/TwistSpaceTechnology/recipe/craftRecipe/item/CosmicProcessorCircuitRecipes.java:455</t>
  </si>
  <si>
    <t>https://github.com/Nxer/Twist-Space-Technology-Mod/blob/73571514cf8a1527db4975680456748ba32f373d/src/main/java/com/Nxer/TwistSpaceTechnology/common/machine/TST_MicroSpaceTimeFabricatorio.java</t>
  </si>
  <si>
    <t>https://github.com/Nxer/Twist-Space-Technology-Mod/blob/73571514cf8a1527db4975680456748ba32f373d/src/main/java/com/Nxer/TwistSpaceTechnology/recipe/craftRecipe/item/CosmicProcessorCircuitRecipes.java#L455</t>
  </si>
  <si>
    <t>MiracleTop</t>
  </si>
  <si>
    <t>GT_TileEntity_MiracleTop</t>
  </si>
  <si>
    <t>Siêu máy đa recipe endgame</t>
  </si>
  <si>
    <t>GTCMRecipe.MiracleTopRecipes</t>
  </si>
  <si>
    <t>src/main/java/com/Nxer/TwistSpaceTechnology/common/machine/GT_TileEntity_MiracleTop.java</t>
  </si>
  <si>
    <t>src/main/java/com/Nxer/TwistSpaceTechnology/recipe/craftRecipe/machine/GTCMMachineRecipes.java:698</t>
  </si>
  <si>
    <t>https://github.com/Nxer/Twist-Space-Technology-Mod/blob/73571514cf8a1527db4975680456748ba32f373d/src/main/java/com/Nxer/TwistSpaceTechnology/common/machine/GT_TileEntity_MiracleTop.java</t>
  </si>
  <si>
    <t>https://github.com/Nxer/Twist-Space-Technology-Mod/blob/73571514cf8a1527db4975680456748ba32f373d/src/main/java/com/Nxer/TwistSpaceTechnology/recipe/craftRecipe/machine/GTCMMachineRecipes.java#L698</t>
  </si>
  <si>
    <t>ArtificialStar</t>
  </si>
  <si>
    <t>TST_ArtificialStar</t>
  </si>
  <si>
    <t>Máy phát điện stellar endgame</t>
  </si>
  <si>
    <t>GTCMRecipe.ArtificialStarGeneratingRecipes</t>
  </si>
  <si>
    <t>src/main/java/com/Nxer/TwistSpaceTechnology/system/DysonSphereProgram/machines/TST_ArtificialStar.java</t>
  </si>
  <si>
    <t>src/main/java/com/Nxer/TwistSpaceTechnology/recipe/machineRecipe/expanded/DSPRecipePool.java:249</t>
  </si>
  <si>
    <t>https://github.com/Nxer/Twist-Space-Technology-Mod/blob/73571514cf8a1527db4975680456748ba32f373d/src/main/java/com/Nxer/TwistSpaceTechnology/system/DysonSphereProgram/machines/TST_ArtificialStar.java</t>
  </si>
  <si>
    <t>https://github.com/Nxer/Twist-Space-Technology-Mod/blob/73571514cf8a1527db4975680456748ba32f373d/src/main/java/com/Nxer/TwistSpaceTechnology/recipe/machineRecipe/expanded/DSPRecipePool.java#L249</t>
  </si>
  <si>
    <t>DeployedNanoCore</t>
  </si>
  <si>
    <t>TST_DeployedNanoCore</t>
  </si>
  <si>
    <t>Nano core triển khai / recipe endgame</t>
  </si>
  <si>
    <t>GTCMRecipe.DeployedNanoCoreRecipes</t>
  </si>
  <si>
    <t>src/main/java/com/Nxer/TwistSpaceTechnology/common/machine/TST_DeployedNanoCore.java</t>
  </si>
  <si>
    <t>src/main/java/com/Nxer/TwistSpaceTechnology/recipe/craftRecipe/machine/GTCMMachineRecipes.java:2039</t>
  </si>
  <si>
    <t>https://github.com/Nxer/Twist-Space-Technology-Mod/blob/73571514cf8a1527db4975680456748ba32f373d/src/main/java/com/Nxer/TwistSpaceTechnology/common/machine/TST_DeployedNanoCore.java</t>
  </si>
  <si>
    <t>https://github.com/Nxer/Twist-Space-Technology-Mod/blob/73571514cf8a1527db4975680456748ba32f373d/src/main/java/com/Nxer/TwistSpaceTechnology/recipe/craftRecipe/machine/GTCMMachineRecipes.java#L2039</t>
  </si>
  <si>
    <t>DimensionallyTranscendentMatterPlasmaForgePrototypeMK2</t>
  </si>
  <si>
    <t>MM_DimensionallyTranscendentMatterPlasmaForgePrototypeMK2</t>
  </si>
  <si>
    <t>Plasma forge endgame</t>
  </si>
  <si>
    <t>TST dùng RecipeMaps.plasmaForgeRecipes (TecTech) + modular execution-core/hatch logic</t>
  </si>
  <si>
    <t>src/main/java/com/Nxer/TwistSpaceTechnology/common/modularizedMachine/MM_DimensionallyTranscendentMatterPlasmaForgePrototypeMK2.java</t>
  </si>
  <si>
    <t>src/main/java/com/Nxer/TwistSpaceTechnology/recipe/craftRecipe/machine/GTCMMachineRecipes.java:3130</t>
  </si>
  <si>
    <t>https://github.com/Nxer/Twist-Space-Technology-Mod/blob/73571514cf8a1527db4975680456748ba32f373d/src/main/java/com/Nxer/TwistSpaceTechnology/common/modularizedMachine/MM_DimensionallyTranscendentMatterPlasmaForgePrototypeMK2.java</t>
  </si>
  <si>
    <t>https://github.com/Nxer/Twist-Space-Technology-Mod/blob/73571514cf8a1527db4975680456748ba32f373d/src/main/java/com/Nxer/TwistSpaceTechnology/recipe/craftRecipe/machine/GTCMMachineRecipes.java#L3130</t>
  </si>
  <si>
    <t>MassFabricatorGenesis</t>
  </si>
  <si>
    <t>MM_MassFabricatorGenesis</t>
  </si>
  <si>
    <t>Mass fabrication endgame</t>
  </si>
  <si>
    <t>GTCMRecipe.MassFabricatorGenesis: circuit 1 → UU-Matter; circuit 2 → Concentrated UU-Matter; modular execution-core logic</t>
  </si>
  <si>
    <t>src/main/java/com/Nxer/TwistSpaceTechnology/common/modularizedMachine/MM_MassFabricatorGenesis.java</t>
  </si>
  <si>
    <t>src/main/java/com/Nxer/TwistSpaceTechnology/recipe/craftRecipe/machine/GTCMMachineRecipes.java:3216</t>
  </si>
  <si>
    <t>https://github.com/Nxer/Twist-Space-Technology-Mod/blob/73571514cf8a1527db4975680456748ba32f373d/src/main/java/com/Nxer/TwistSpaceTechnology/common/modularizedMachine/MM_MassFabricatorGenesis.java</t>
  </si>
  <si>
    <t>https://github.com/Nxer/Twist-Space-Technology-Mod/blob/73571514cf8a1527db4975680456748ba32f373d/src/main/java/com/Nxer/TwistSpaceTechnology/recipe/craftRecipe/machine/GTCMMachineRecipes.java#L3216</t>
  </si>
  <si>
    <t>SuperWaterPurifier</t>
  </si>
  <si>
    <t>TST_SuperWaterPurifier</t>
  </si>
  <si>
    <t>Chuỗi tinh lọc nước endgame</t>
  </si>
  <si>
    <t>GTCMRecipe.SuperWaterPurifierVisualRecipeMap + staged logic</t>
  </si>
  <si>
    <t>src/main/java/com/Nxer/TwistSpaceTechnology/common/machine/TST_SuperWaterPurifier.java</t>
  </si>
  <si>
    <t>src/main/java/com/Nxer/TwistSpaceTechnology/recipe/craftRecipe/machine/GTCMMachineRecipes.java:3634</t>
  </si>
  <si>
    <t>https://github.com/Nxer/Twist-Space-Technology-Mod/blob/73571514cf8a1527db4975680456748ba32f373d/src/main/java/com/Nxer/TwistSpaceTechnology/common/machine/TST_SuperWaterPurifier.java</t>
  </si>
  <si>
    <t>https://github.com/Nxer/Twist-Space-Technology-Mod/blob/73571514cf8a1527db4975680456748ba32f373d/src/main/java/com/Nxer/TwistSpaceTechnology/recipe/craftRecipe/machine/GTCMMachineRecipes.java#L3634</t>
  </si>
  <si>
    <t>StrangeMatterAggregator</t>
  </si>
  <si>
    <t>TST_StrangeMatterAggregator</t>
  </si>
  <si>
    <t>Tổng hợp strange matter</t>
  </si>
  <si>
    <t>GTCMRecipe.StrangeMatterAggregatorRecipes</t>
  </si>
  <si>
    <t>src/main/java/com/Nxer/TwistSpaceTechnology/system/DysonSphereProgram/machines/TST_StrangeMatterAggregator.java</t>
  </si>
  <si>
    <t>src/main/java/com/Nxer/TwistSpaceTechnology/recipe/machineRecipe/expanded/DSPRecipePool.java:918</t>
  </si>
  <si>
    <t>https://github.com/Nxer/Twist-Space-Technology-Mod/blob/73571514cf8a1527db4975680456748ba32f373d/src/main/java/com/Nxer/TwistSpaceTechnology/system/DysonSphereProgram/machines/TST_StrangeMatterAggregator.java</t>
  </si>
  <si>
    <t>https://github.com/Nxer/Twist-Space-Technology-Mod/blob/73571514cf8a1527db4975680456748ba32f373d/src/main/java/com/Nxer/TwistSpaceTechnology/recipe/machineRecipe/expanded/DSPRecipePool.java#L918</t>
  </si>
  <si>
    <t>HyperSpacetimeTransformer</t>
  </si>
  <si>
    <t>GTCM_HyperSpacetimeTransformer</t>
  </si>
  <si>
    <t>Endgame*</t>
  </si>
  <si>
    <t>Biến đổi vật chất/spacetime</t>
  </si>
  <si>
    <t>GTCMRecipe.HyperSpacetimeTransformerRecipe + molecularTransformerRecipes</t>
  </si>
  <si>
    <t>src/main/java/com/Nxer/TwistSpaceTechnology/common/machine/GTCM_HyperSpacetimeTransformer.java</t>
  </si>
  <si>
    <t>Không tìm thấy recipe chế tạo controller; tier theo code/feature, cần xác minh pack</t>
  </si>
  <si>
    <t>https://github.com/Nxer/Twist-Space-Technology-Mod/blob/73571514cf8a1527db4975680456748ba32f373d/src/main/java/com/Nxer/TwistSpaceTechnology/common/machine/GTCM_HyperSpacetimeTransformer.java</t>
  </si>
  <si>
    <t>Medium</t>
  </si>
  <si>
    <t>AstralComputingArray</t>
  </si>
  <si>
    <t>TST_Computer</t>
  </si>
  <si>
    <t>Hạ tầng tính toán công suất lớn</t>
  </si>
  <si>
    <t>Custom computation/rack logic; cần audit khác biệt với HPCA</t>
  </si>
  <si>
    <t>StructureLib trong TST_Computer</t>
  </si>
  <si>
    <t>src/main/java/com/Nxer/TwistSpaceTechnology/common/machine/TST_Computer.java</t>
  </si>
  <si>
    <t>src/main/java/com/Nxer/TwistSpaceTechnology/recipe/craftRecipe/machine/GTCMMachineRecipes.java:2071</t>
  </si>
  <si>
    <t>https://github.com/Nxer/Twist-Space-Technology-Mod/blob/73571514cf8a1527db4975680456748ba32f373d/src/main/java/com/Nxer/TwistSpaceTechnology/common/machine/TST_Computer.java</t>
  </si>
  <si>
    <t>https://github.com/Nxer/Twist-Space-Technology-Mod/blob/73571514cf8a1527db4975680456748ba32f373d/src/main/java/com/Nxer/TwistSpaceTechnology/recipe/craftRecipe/machine/GTCMMachineRecipes.java#L2071</t>
  </si>
  <si>
    <t>Review</t>
  </si>
  <si>
    <t>THÊM THEO ĐÁNH DẤU XANH: đưa lại backlog; phải audit cơ chế computation riêng trước khi chốt mapping HPCA.</t>
  </si>
  <si>
    <t>LargeIndustrialCokingFactory</t>
  </si>
  <si>
    <t>TST_LargeIndustrialCokingFactory</t>
  </si>
  <si>
    <t>Coking / pyrolysis công suất lớn</t>
  </si>
  <si>
    <t>GTCMRecipe.CokingFactoryRecipes: Raw Radox + 6 nhánh coking log; coil speed = 1/(coil tier+1); Integer.MAX_VALUE parallel</t>
  </si>
  <si>
    <t>StructureLib trong class controller</t>
  </si>
  <si>
    <t>src/main/java/com/Nxer/TwistSpaceTechnology/common/machine/TST_LargeIndustrialCokingFactory.java</t>
  </si>
  <si>
    <t>src/main/java/com/Nxer/TwistSpaceTechnology/recipe/craftRecipe/machine/GTCMMachineRecipes.java:1403</t>
  </si>
  <si>
    <t>https://github.com/Nxer/Twist-Space-Technology-Mod/blob/73571514cf8a1527db4975680456748ba32f373d/src/main/java/com/Nxer/TwistSpaceTechnology/common/machine/TST_LargeIndustrialCokingFactory.java</t>
  </si>
  <si>
    <t>https://github.com/Nxer/Twist-Space-Technology-Mod/blob/73571514cf8a1527db4975680456748ba32f373d/src/main/java/com/Nxer/TwistSpaceTechnology/recipe/craftRecipe/machine/GTCMMachineRecipes.java#L1403</t>
  </si>
  <si>
    <t>THÊM THEO ĐÁNH DẤU XANH: có recipe riêng đáng port; ưu tiên map recipe vào Coke/Pyrolyse hiện có và dùng Parallel Hatch, chỉ giữ controller riêng nếu coil progression còn cần thiết.</t>
  </si>
  <si>
    <t>OreProcessingFactory</t>
  </si>
  <si>
    <t>TST_OreProcessingFactory</t>
  </si>
  <si>
    <t>Dây chuyền xử lý quặng tự động</t>
  </si>
  <si>
    <t>Custom ore pipeline; thời gian cố định, tiêu thụ lubricant và tự chuyển input không phải quặng</t>
  </si>
  <si>
    <t>StructureLib trong controller; pipeline I/O chuyên dụng</t>
  </si>
  <si>
    <t>src/main/java/com/Nxer/TwistSpaceTechnology/system/OreProcess/machines/TST_OreProcessingFactory.java</t>
  </si>
  <si>
    <t>src/main/java/com/Nxer/TwistSpaceTechnology/recipe/craftRecipe/machine/GTCMMachineRecipes.java:1273</t>
  </si>
  <si>
    <t>https://github.com/Nxer/Twist-Space-Technology-Mod/blob/73571514cf8a1527db4975680456748ba32f373d/src/main/java/com/Nxer/TwistSpaceTechnology/system/OreProcess/machines/TST_OreProcessingFactory.java</t>
  </si>
  <si>
    <t>https://github.com/Nxer/Twist-Space-Technology-Mod/blob/73571514cf8a1527db4975680456748ba32f373d/src/main/java/com/Nxer/TwistSpaceTechnology/recipe/craftRecipe/machine/GTCMMachineRecipes.java#L1273</t>
  </si>
  <si>
    <t>THÊM THEO ĐÁNH DẤU XANH: có cơ chế pipeline riêng; audit đầy đủ trước khi mapping vào các large ore machine GCYM.</t>
  </si>
  <si>
    <t>StarcoreMiner</t>
  </si>
  <si>
    <t>TST_StarcoreMiner</t>
  </si>
  <si>
    <t>Khai thác quy mô lớn / starcore mining</t>
  </si>
  <si>
    <t>Custom mining logic; cần audit bán kính, tài nguyên và dimension rules</t>
  </si>
  <si>
    <t>src/main/java/com/Nxer/TwistSpaceTechnology/common/machine/TST_StarcoreMiner.java</t>
  </si>
  <si>
    <t>src/main/java/com/Nxer/TwistSpaceTechnology/recipe/craftRecipe/machine/GTCMMachineRecipes.java:2238</t>
  </si>
  <si>
    <t>https://github.com/Nxer/Twist-Space-Technology-Mod/blob/73571514cf8a1527db4975680456748ba32f373d/src/main/java/com/Nxer/TwistSpaceTechnology/common/machine/TST_StarcoreMiner.java</t>
  </si>
  <si>
    <t>https://github.com/Nxer/Twist-Space-Technology-Mod/blob/73571514cf8a1527db4975680456748ba32f373d/src/main/java/com/Nxer/TwistSpaceTechnology/recipe/craftRecipe/machine/GTCMMachineRecipes.java#L2238</t>
  </si>
  <si>
    <t>THÊM THEO ĐÁNH DẤU XANH: đưa lại backlog để đối chiếu cơ chế khai thác riêng với LARGE_MINER.</t>
  </si>
  <si>
    <t>MeteorMiner</t>
  </si>
  <si>
    <t>TST_LaserMeteorMiner</t>
  </si>
  <si>
    <t>Cần xác minh</t>
  </si>
  <si>
    <t>Khai thác thiên thạch bằng schematic</t>
  </si>
  <si>
    <t>Custom mining loop + hai cấp Meteor Miner Schematic; recipe controller chưa xác minh</t>
  </si>
  <si>
    <t>src/main/java/com/Nxer/TwistSpaceTechnology/common/machine/TST_LaserMeteorMiner.java</t>
  </si>
  <si>
    <t>Chưa xác định — cần audit source recipe tạo controller</t>
  </si>
  <si>
    <t>https://github.com/Nxer/Twist-Space-Technology-Mod/blob/73571514cf8a1527db4975680456748ba32f373d/src/main/java/com/Nxer/TwistSpaceTechnology/common/machine/TST_LaserMeteorMiner.java</t>
  </si>
  <si>
    <t>THÊM THEO ĐÁNH DẤU XANH: giữ để mapping sau; phải xác minh recipe controller và tier trước khi triển khai.</t>
  </si>
  <si>
    <t>Mapping &amp; checklist port GTCEu 1.20.1</t>
  </si>
  <si>
    <t>Backlog kỹ thuật cho 25 máy sau khi áp dụng quy tắc màu; cột trạng thái và độ phức tạp tiếp tục dùng cho các phase port.</t>
  </si>
  <si>
    <t>Máy TST</t>
  </si>
  <si>
    <t>Tier</t>
  </si>
  <si>
    <t>Mục tiêu gameplay</t>
  </si>
  <si>
    <t>Mapping/kiến trúc GTCEu đề xuất</t>
  </si>
  <si>
    <t>Độ phức tạp</t>
  </si>
  <si>
    <t>Trạng thái</t>
  </si>
  <si>
    <t>Owner</t>
  </si>
  <si>
    <t>Rủi ro chính</t>
  </si>
  <si>
    <t>Điểm bắt đầu code</t>
  </si>
  <si>
    <t>Custom machine ghép vacuum drying và dehydrator; không có large-machine 1:1.</t>
  </si>
  <si>
    <t>Backlog</t>
  </si>
  <si>
    <t>Cân bằng parallel/OC, recipe và pattern</t>
  </si>
  <si>
    <t>REGISTRATE.multiblock + WorkableElectricMultiblockMachine + MultiblockPatternBuilder + Predicates.abilities + RecipeModifier</t>
  </si>
  <si>
    <t>Custom dimension interface và recipe/output logic.</t>
  </si>
  <si>
    <t>Custom thermal conversion modes; recipe controller dùng TTRecipeAdder.</t>
  </si>
  <si>
    <t>Custom farming/ecosystem simulation; cô lập Thaumcraft/Forestry/Botania integrations.</t>
  </si>
  <si>
    <t>Very High</t>
  </si>
  <si>
    <t>Saved-data/capability hoặc dependency addon không có 1:1</t>
  </si>
  <si>
    <t>Custom recipe/data generation; cần quy tắc chống duplication và hoàn trả vật liệu.</t>
  </si>
  <si>
    <t>Custom/addon recipe type; không có cyclotron multiblock trong GTCEu core.</t>
  </si>
  <si>
    <t>Port recipe type riêng; không map sang ROCK_BREAKER_RECIPES. Giữ Parallel Hatch và modifier output ×4/×1024, kèm tiêu thụ water/lava theo tick đúng source.</t>
  </si>
  <si>
    <t>REGISTRATE.multiblock + custom GTRecipeType + RecipeModifier cho parallel/output/fluid drain.</t>
  </si>
  <si>
    <t>Custom recipe property/state; port thành recipe type riêng.</t>
  </si>
  <si>
    <t>Custom generator/fuel burn; không có large Naquadah reactor trong registry core đã rà.</t>
  </si>
  <si>
    <t>GIỮ SAU AUDIT SOURCE: custom DSP subsystem; recipe Solar Sail và Small Launch Vehicle → Empty Vehicle (99%), cập nhật sail/node trong saved-data theo owner/dimension.</t>
  </si>
  <si>
    <t>Cần shared DSP saved-data, wireless EU, launch items và liên kết bắt buộc với DSPReceiver; GTCEu core không có tương đương.</t>
  </si>
  <si>
    <t>Port recipe type + launcher machine + DSP network service; giữ recipe và consumption đúng source.</t>
  </si>
  <si>
    <t>GIỮ SAU AUDIT SOURCE: dùng DSP power point; hai mode phát EU hoặc tạo Critical Photon, có Gravitational Lens và Astral Array overload; không có GTCEu core tương đương.</t>
  </si>
  <si>
    <t>Phụ thuộc shared DSP saved-data và DSPLauncher; phải port power-point accounting, mode, coefficient và sync/persist.</t>
  </si>
  <si>
    <t>Port paired receiver + DSP network service + Critical Photon recipe/output contract.</t>
  </si>
  <si>
    <t>Custom GTRecipeType + multiblock pattern và modifier riêng.</t>
  </si>
  <si>
    <t>Custom multi-mode controller; dùng GTRecipeType riêng và RecipeModifier riêng.</t>
  </si>
  <si>
    <t>Custom generator, fuel logic và trạng thái stellar; dùng OUTPUT_ENERGY.</t>
  </si>
  <si>
    <t>Custom recipe type, module và state; không có controller GTCEu tương đương.</t>
  </si>
  <si>
    <t>TST tái dùng TecTech plasmaForgeRecipes; GTCEu 1.20.1 không có controller/recipe type Plasma Forge tương đương, nên cần port recipe type cùng hệ module/hatch.</t>
  </si>
  <si>
    <t>Recipe map riêng, không phải MASS_FABRICATOR mặc định: hai recipe tạo UU-Matter/Concentrated UU-Matter và hệ module riêng; chưa có large machine GTCEu 1:1.</t>
  </si>
  <si>
    <t>Port custom GTRecipeType + modular multiblock; không gộp thẳng vào MASS_FABRICATOR_RECIPES.</t>
  </si>
  <si>
    <t>Custom staged purification và validation; không có GTCEu large-machine 1:1.</t>
  </si>
  <si>
    <t>Custom recipe type và logic chạy dài; không có large machine core tương ứng.</t>
  </si>
  <si>
    <t>Giữ ở backlog xác minh: controller active và có recipe maps, nhưng chưa thấy recipe chế tạo controller.</t>
  </si>
  <si>
    <t>CẦN MAPPING: đối chiếu HPCA; chỉ tạo controller riêng nếu TST có rack/computation mechanic khác biệt đáng giữ.</t>
  </si>
  <si>
    <t>Overlap HPCA; cần audit computation, rack và dependency trước.</t>
  </si>
  <si>
    <t>Audit TST_Computer + GTResearchMachines/HPCA trước khi thiết kế.</t>
  </si>
  <si>
    <t>Coking / pyrolysis khối lượng lớn</t>
  </si>
  <si>
    <t>CẦN MAPPING: port 7 nhóm recipe riêng (Raw Radox + 6 log outputs) vào COKE_OVEN/PYROLYSE khi semantics khớp; không port infinite parallel vì GTCEu có Parallel Hatch.</t>
  </si>
  <si>
    <t>Vai trò lõi trùng, chỉ giữ nếu coil/throughput tạo gameplay riêng.</t>
  </si>
  <si>
    <t>Audit coil speed 1/(tier+1); mặc định dùng Coke/Pyrolyse Oven + Parallel Hatch, chỉ tạo controller riêng khi cần giữ coil progression.</t>
  </si>
  <si>
    <t>CẦN MAPPING: ghép recipe types GCYM hoặc custom pipeline nếu cần giữ fixed duration, lubricant và auto-routing.</t>
  </si>
  <si>
    <t>Pipeline nhiều bước, routing output và nguy cơ duplication.</t>
  </si>
  <si>
    <t>Audit TST_OreProcessingFactory rồi đối chiếu toàn bộ GCYMMachines ore processing.</t>
  </si>
  <si>
    <t>Khai thác starcore quy mô lớn</t>
  </si>
  <si>
    <t>CẦN MAPPING: dùng LARGE_MINER làm nền hoặc custom miner nếu radius/dimension/resource logic khác biệt.</t>
  </si>
  <si>
    <t>World scanning, chunk loading và cân bằng tài nguyên.</t>
  </si>
  <si>
    <t>Audit TST_StarcoreMiner + LARGE_MINER trước khi chốt kiến trúc.</t>
  </si>
  <si>
    <t>CẦN MAPPING: custom mining controller; giữ hai cấp schematic và xác minh recipe/tier trước.</t>
  </si>
  <si>
    <t>Chưa xác định recipe controller; world/dimension mining và schematic state.</t>
  </si>
  <si>
    <t>Audit TST_LaserMeteorMiner, schematic items và registration recipe.</t>
  </si>
  <si>
    <t>Đã loại vì trùng large_machine GTCEu</t>
  </si>
  <si>
    <t>26 controller còn bị loại khỏi backlog. Năm dòng người dùng đánh dấu xanh đã được chuyển sang backlog để audit cơ chế riêng trước khi mapping.</t>
  </si>
  <si>
    <t>Tier/controller gate</t>
  </si>
  <si>
    <t>Class TST</t>
  </si>
  <si>
    <t>Large machine GTCEu thay thế</t>
  </si>
  <si>
    <t>Logic chung</t>
  </si>
  <si>
    <t>Khuyến nghị</t>
  </si>
  <si>
    <t>Bằng chứng TST</t>
  </si>
  <si>
    <t>Bằng chứng GTCEu</t>
  </si>
  <si>
    <t>URL TST</t>
  </si>
  <si>
    <t>URL GTCEu</t>
  </si>
  <si>
    <t>AdvCircuitAssemblyLine</t>
  </si>
  <si>
    <t>TST_AdvCircuitAssemblyLine</t>
  </si>
  <si>
    <t>LARGE_ASSEMBLER + ASSEMBLY_LINE</t>
  </si>
  <si>
    <t>circuit assembler / assembly line</t>
  </si>
  <si>
    <t>LOẠI khỏi backlog controller mới; dùng/extend large machine GTCEu hiện có và chỉ port recipe hoặc modifier thật sự khác.</t>
  </si>
  <si>
    <t>src/main/java/com/Nxer/TwistSpaceTechnology/recipe/craftRecipe/machine/GTCMMachineRecipes.java:3046</t>
  </si>
  <si>
    <t>src/main/java/com/gregtechceu/gtceu/common/data/machines/GTMultiMachines.java:411</t>
  </si>
  <si>
    <t>https://github.com/Nxer/Twist-Space-Technology-Mod/blob/73571514cf8a1527db4975680456748ba32f373d/src/main/java/com/Nxer/TwistSpaceTechnology/recipe/craftRecipe/machine/GTCMMachineRecipes.java#L3046</t>
  </si>
  <si>
    <t>https://github.com/GregTechCEu/GregTech-Modern/blob/8cd929b289460ed0c35f8b931b68dd8a518876d1/src/main/java/com/gregtechceu/gtceu/common/data/machines/GTMultiMachines.java#L411</t>
  </si>
  <si>
    <t>BallLightning</t>
  </si>
  <si>
    <t>TST_BallLightning</t>
  </si>
  <si>
    <t>LARGE_ARC_SMELTER + FUSION_REACTOR</t>
  </si>
  <si>
    <t>arc/plasma arc/fusion processing</t>
  </si>
  <si>
    <t>src/main/java/com/Nxer/TwistSpaceTechnology/recipe/craftRecipe/machine/GTCMMachineRecipes.java:2312</t>
  </si>
  <si>
    <t>src/main/java/com/gregtechceu/gtceu/common/data/machines/GCYMMachines.java:347</t>
  </si>
  <si>
    <t>https://github.com/Nxer/Twist-Space-Technology-Mod/blob/73571514cf8a1527db4975680456748ba32f373d/src/main/java/com/Nxer/TwistSpaceTechnology/recipe/craftRecipe/machine/GTCMMachineRecipes.java#L2312</t>
  </si>
  <si>
    <t>https://github.com/GregTechCEu/GregTech-Modern/blob/8cd929b289460ed0c35f8b931b68dd8a518876d1/src/main/java/com/gregtechceu/gtceu/common/data/machines/GCYMMachines.java#L347</t>
  </si>
  <si>
    <t>BiosphereIII</t>
  </si>
  <si>
    <t>TST_BiosphereIII</t>
  </si>
  <si>
    <t>LARGE_BREWER</t>
  </si>
  <si>
    <t>brewing / fermentation</t>
  </si>
  <si>
    <t>src/main/java/com/Nxer/TwistSpaceTechnology/recipe/craftRecipe/machine/GTCMMachineRecipes.java:1550</t>
  </si>
  <si>
    <t>src/main/java/com/gregtechceu/gtceu/common/data/machines/GCYMMachines.java:540</t>
  </si>
  <si>
    <t>https://github.com/Nxer/Twist-Space-Technology-Mod/blob/73571514cf8a1527db4975680456748ba32f373d/src/main/java/com/Nxer/TwistSpaceTechnology/recipe/craftRecipe/machine/GTCMMachineRecipes.java#L1550</t>
  </si>
  <si>
    <t>https://github.com/GregTechCEu/GregTech-Modern/blob/8cd929b289460ed0c35f8b931b68dd8a518876d1/src/main/java/com/gregtechceu/gtceu/common/data/machines/GCYMMachines.java#L540</t>
  </si>
  <si>
    <t>CrystallineInfinitier</t>
  </si>
  <si>
    <t>GTCM_CrystallineInfinitier</t>
  </si>
  <si>
    <t>LARGE_AUTOCLAVE + LARGE_CHEMICAL_BATH</t>
  </si>
  <si>
    <t>autoclave / chemical bath</t>
  </si>
  <si>
    <t>src/main/java/com/Nxer/TwistSpaceTechnology/recipe/craftRecipe/machine/GTCMMachineRecipes.java:1119</t>
  </si>
  <si>
    <t>src/main/java/com/gregtechceu/gtceu/common/data/machines/GCYMMachines.java:486</t>
  </si>
  <si>
    <t>https://github.com/Nxer/Twist-Space-Technology-Mod/blob/73571514cf8a1527db4975680456748ba32f373d/src/main/java/com/Nxer/TwistSpaceTechnology/recipe/craftRecipe/machine/GTCMMachineRecipes.java#L1119</t>
  </si>
  <si>
    <t>https://github.com/GregTechCEu/GregTech-Modern/blob/8cd929b289460ed0c35f8b931b68dd8a518876d1/src/main/java/com/gregtechceu/gtceu/common/data/machines/GCYMMachines.java#L486</t>
  </si>
  <si>
    <t>HephaestusAtelier</t>
  </si>
  <si>
    <t>TST_HephaestusAtelier</t>
  </si>
  <si>
    <t>MULTI_SMELTER</t>
  </si>
  <si>
    <t>furnace / alloy smelter</t>
  </si>
  <si>
    <t>src/main/java/com/Nxer/TwistSpaceTechnology/recipe/craftRecipe/machine/GTCMMachineRecipes.java:1860</t>
  </si>
  <si>
    <t>src/main/java/com/gregtechceu/gtceu/common/data/machines/GTMultiMachines.java:272</t>
  </si>
  <si>
    <t>https://github.com/Nxer/Twist-Space-Technology-Mod/blob/73571514cf8a1527db4975680456748ba32f373d/src/main/java/com/Nxer/TwistSpaceTechnology/recipe/craftRecipe/machine/GTCMMachineRecipes.java#L1860</t>
  </si>
  <si>
    <t>https://github.com/GregTechCEu/GregTech-Modern/blob/8cd929b289460ed0c35f8b931b68dd8a518876d1/src/main/java/com/gregtechceu/gtceu/common/data/machines/GTMultiMachines.java#L272</t>
  </si>
  <si>
    <t>HolySeparator</t>
  </si>
  <si>
    <t>GT_TileEntity_HolySeparator</t>
  </si>
  <si>
    <t>LARGE_CUTTER</t>
  </si>
  <si>
    <t>cutter / lathe</t>
  </si>
  <si>
    <t>src/main/java/com/Nxer/TwistSpaceTechnology/recipe/craftRecipe/machine/GTCMMachineRecipes.java:954</t>
  </si>
  <si>
    <t>src/main/java/com/gregtechceu/gtceu/common/data/machines/GCYMMachines.java:570</t>
  </si>
  <si>
    <t>https://github.com/Nxer/Twist-Space-Technology-Mod/blob/73571514cf8a1527db4975680456748ba32f373d/src/main/java/com/Nxer/TwistSpaceTechnology/recipe/craftRecipe/machine/GTCMMachineRecipes.java#L954</t>
  </si>
  <si>
    <t>https://github.com/GregTechCEu/GregTech-Modern/blob/8cd929b289460ed0c35f8b931b68dd8a518876d1/src/main/java/com/gregtechceu/gtceu/common/data/machines/GCYMMachines.java#L570</t>
  </si>
  <si>
    <t>IndistinctTentacle</t>
  </si>
  <si>
    <t>TST_IndistinctTentacle</t>
  </si>
  <si>
    <t>assembler / assembly line</t>
  </si>
  <si>
    <t>src/main/java/com/Nxer/TwistSpaceTechnology/recipe/craftRecipe/machine/GTCMMachineRecipes.java:1607</t>
  </si>
  <si>
    <t>src/main/java/com/gregtechceu/gtceu/common/data/machines/GCYMMachines.java:279</t>
  </si>
  <si>
    <t>https://github.com/Nxer/Twist-Space-Technology-Mod/blob/73571514cf8a1527db4975680456748ba32f373d/src/main/java/com/Nxer/TwistSpaceTechnology/recipe/craftRecipe/machine/GTCMMachineRecipes.java#L1607</t>
  </si>
  <si>
    <t>https://github.com/GregTechCEu/GregTech-Modern/blob/8cd929b289460ed0c35f8b931b68dd8a518876d1/src/main/java/com/gregtechceu/gtceu/common/data/machines/GCYMMachines.java#L279</t>
  </si>
  <si>
    <t>IndistinctTentaclePrototypeMK2</t>
  </si>
  <si>
    <t>MM_IndistinctTentaclePrototypeMK2</t>
  </si>
  <si>
    <t>src/main/java/com/Nxer/TwistSpaceTechnology/recipe/craftRecipe/machine/GTCMMachineRecipes.java:3179</t>
  </si>
  <si>
    <t>https://github.com/Nxer/Twist-Space-Technology-Mod/blob/73571514cf8a1527db4975680456748ba32f373d/src/main/java/com/Nxer/TwistSpaceTechnology/recipe/craftRecipe/machine/GTCMMachineRecipes.java#L3179</t>
  </si>
  <si>
    <t>IntegratedAssemblyMatrix</t>
  </si>
  <si>
    <t>TST_IntegratedAssemblyMatrix</t>
  </si>
  <si>
    <t>ASSEMBLY_LINE</t>
  </si>
  <si>
    <t>assembly line; khác chủ yếu ở bypass research</t>
  </si>
  <si>
    <t>src/main/java/com/Nxer/TwistSpaceTechnology/recipe/craftRecipe/machine/GTCMMachineRecipes.java:3675</t>
  </si>
  <si>
    <t>https://github.com/Nxer/Twist-Space-Technology-Mod/blob/73571514cf8a1527db4975680456748ba32f373d/src/main/java/com/Nxer/TwistSpaceTechnology/recipe/craftRecipe/machine/GTCMMachineRecipes.java#L3675</t>
  </si>
  <si>
    <t>IntensifyChemicalDistorter</t>
  </si>
  <si>
    <t>GT_TileEntity_IntensifyChemicalDistorter</t>
  </si>
  <si>
    <t>LARGE_CHEMICAL_REACTOR</t>
  </si>
  <si>
    <t>chemical reactor</t>
  </si>
  <si>
    <t>src/main/java/com/Nxer/TwistSpaceTechnology/recipe/craftRecipe/machine/GTCMMachineRecipes.java:293</t>
  </si>
  <si>
    <t>src/main/java/com/gregtechceu/gtceu/common/data/machines/GTMultiMachines.java:187</t>
  </si>
  <si>
    <t>https://github.com/Nxer/Twist-Space-Technology-Mod/blob/73571514cf8a1527db4975680456748ba32f373d/src/main/java/com/Nxer/TwistSpaceTechnology/recipe/craftRecipe/machine/GTCMMachineRecipes.java#L293</t>
  </si>
  <si>
    <t>https://github.com/GregTechCEu/GregTech-Modern/blob/8cd929b289460ed0c35f8b931b68dd8a518876d1/src/main/java/com/gregtechceu/gtceu/common/data/machines/GTMultiMachines.java#L187</t>
  </si>
  <si>
    <t>MagneticDomainConstructor</t>
  </si>
  <si>
    <t>GT_TileEntity_MagneticDomainConstructor</t>
  </si>
  <si>
    <t>LARGE_ELECTROMAGNET</t>
  </si>
  <si>
    <t>electromagnetic separator / polarizer</t>
  </si>
  <si>
    <t>src/main/java/com/Nxer/TwistSpaceTechnology/recipe/craftRecipe/machine/GTCMMachineRecipes.java:875</t>
  </si>
  <si>
    <t>src/main/java/com/gregtechceu/gtceu/common/data/machines/GCYMMachines.java:226</t>
  </si>
  <si>
    <t>https://github.com/Nxer/Twist-Space-Technology-Mod/blob/73571514cf8a1527db4975680456748ba32f373d/src/main/java/com/Nxer/TwistSpaceTechnology/recipe/craftRecipe/machine/GTCMMachineRecipes.java#L875</t>
  </si>
  <si>
    <t>https://github.com/GregTechCEu/GregTech-Modern/blob/8cd929b289460ed0c35f8b931b68dd8a518876d1/src/main/java/com/gregtechceu/gtceu/common/data/machines/GCYMMachines.java#L226</t>
  </si>
  <si>
    <t>MagneticDrivePressureFormer</t>
  </si>
  <si>
    <t>GT_TileEntity_MagneticDrivePressureFormer</t>
  </si>
  <si>
    <t>LARGE_MATERIAL_PRESS + LARGE_EXTRUDER</t>
  </si>
  <si>
    <t>bender / forming press / extruder / hammer</t>
  </si>
  <si>
    <t>src/main/java/com/Nxer/TwistSpaceTechnology/recipe/craftRecipe/machine/GTCMMachineRecipes.java:775</t>
  </si>
  <si>
    <t>src/main/java/com/gregtechceu/gtceu/common/data/machines/GCYMMachines.java:513</t>
  </si>
  <si>
    <t>https://github.com/Nxer/Twist-Space-Technology-Mod/blob/73571514cf8a1527db4975680456748ba32f373d/src/main/java/com/Nxer/TwistSpaceTechnology/recipe/craftRecipe/machine/GTCMMachineRecipes.java#L775</t>
  </si>
  <si>
    <t>https://github.com/GregTechCEu/GregTech-Modern/blob/8cd929b289460ed0c35f8b931b68dd8a518876d1/src/main/java/com/gregtechceu/gtceu/common/data/machines/GCYMMachines.java#L513</t>
  </si>
  <si>
    <t>MagneticMixer</t>
  </si>
  <si>
    <t>GT_TileEntity_MagneticMixer</t>
  </si>
  <si>
    <t>LARGE_MIXER</t>
  </si>
  <si>
    <t>mixer</t>
  </si>
  <si>
    <t>src/main/java/com/Nxer/TwistSpaceTechnology/recipe/craftRecipe/machine/GTCMMachineRecipes.java:835</t>
  </si>
  <si>
    <t>src/main/java/com/gregtechceu/gtceu/common/data/machines/GCYMMachines.java:168</t>
  </si>
  <si>
    <t>https://github.com/Nxer/Twist-Space-Technology-Mod/blob/73571514cf8a1527db4975680456748ba32f373d/src/main/java/com/Nxer/TwistSpaceTechnology/recipe/craftRecipe/machine/GTCMMachineRecipes.java#L835</t>
  </si>
  <si>
    <t>https://github.com/GregTechCEu/GregTech-Modern/blob/8cd929b289460ed0c35f8b931b68dd8a518876d1/src/main/java/com/gregtechceu/gtceu/common/data/machines/GCYMMachines.java#L168</t>
  </si>
  <si>
    <t>MegaMacerator</t>
  </si>
  <si>
    <t>TST_MegaMacerator</t>
  </si>
  <si>
    <t>LARGE_MACERATION_TOWER</t>
  </si>
  <si>
    <t>macerator</t>
  </si>
  <si>
    <t>src/main/java/com/Nxer/TwistSpaceTechnology/recipe/craftRecipe/machine/GTCMMachineRecipes.java:1817</t>
  </si>
  <si>
    <t>src/main/java/com/gregtechceu/gtceu/common/data/machines/GCYMMachines.java:81</t>
  </si>
  <si>
    <t>https://github.com/Nxer/Twist-Space-Technology-Mod/blob/73571514cf8a1527db4975680456748ba32f373d/src/main/java/com/Nxer/TwistSpaceTechnology/recipe/craftRecipe/machine/GTCMMachineRecipes.java#L1817</t>
  </si>
  <si>
    <t>https://github.com/GregTechCEu/GregTech-Modern/blob/8cd929b289460ed0c35f8b931b68dd8a518876d1/src/main/java/com/gregtechceu/gtceu/common/data/machines/GCYMMachines.java#L81</t>
  </si>
  <si>
    <t>MiracleDoor</t>
  </si>
  <si>
    <t>TST_MiracleDoor</t>
  </si>
  <si>
    <t>BLAST_ALLOY_SMELTER</t>
  </si>
  <si>
    <t>alloy blast / alloy smelting</t>
  </si>
  <si>
    <t>src/main/java/com/Nxer/TwistSpaceTechnology/recipe/craftRecipe/machine/GTCMMachineRecipes.java:1158</t>
  </si>
  <si>
    <t>src/main/java/com/gregtechceu/gtceu/common/data/machines/GCYMMachines.java:436</t>
  </si>
  <si>
    <t>https://github.com/Nxer/Twist-Space-Technology-Mod/blob/73571514cf8a1527db4975680456748ba32f373d/src/main/java/com/Nxer/TwistSpaceTechnology/recipe/craftRecipe/machine/GTCMMachineRecipes.java#L1158</t>
  </si>
  <si>
    <t>https://github.com/GregTechCEu/GregTech-Modern/blob/8cd929b289460ed0c35f8b931b68dd8a518876d1/src/main/java/com/gregtechceu/gtceu/common/data/machines/GCYMMachines.java#L436</t>
  </si>
  <si>
    <t>MoleculeDeconstructor</t>
  </si>
  <si>
    <t>GT_TileEntity_MoleculeDeconstructor</t>
  </si>
  <si>
    <t>LARGE_CENTRIFUGE + LARGE_ELECTROLYZER</t>
  </si>
  <si>
    <t>centrifuge / electrolyzer</t>
  </si>
  <si>
    <t>src/main/java/com/Nxer/TwistSpaceTechnology/recipe/craftRecipe/machine/GTCMMachineRecipes.java:1086</t>
  </si>
  <si>
    <t>src/main/java/com/gregtechceu/gtceu/common/data/machines/GCYMMachines.java:140</t>
  </si>
  <si>
    <t>https://github.com/Nxer/Twist-Space-Technology-Mod/blob/73571514cf8a1527db4975680456748ba32f373d/src/main/java/com/Nxer/TwistSpaceTechnology/recipe/craftRecipe/machine/GTCMMachineRecipes.java#L1086</t>
  </si>
  <si>
    <t>https://github.com/GregTechCEu/GregTech-Modern/blob/8cd929b289460ed0c35f8b931b68dd8a518876d1/src/main/java/com/gregtechceu/gtceu/common/data/machines/GCYMMachines.java#L140</t>
  </si>
  <si>
    <t>PhysicalFormSwitcher</t>
  </si>
  <si>
    <t>GT_TileEntity_PhysicalFormSwitcher</t>
  </si>
  <si>
    <t>LARGE_EXTRACTOR + LARGE_SOLIDIFIER</t>
  </si>
  <si>
    <t>fluid extractor / solidifier</t>
  </si>
  <si>
    <t>src/main/java/com/Nxer/TwistSpaceTechnology/recipe/craftRecipe/machine/GTCMMachineRecipes.java:798</t>
  </si>
  <si>
    <t>src/main/java/com/gregtechceu/gtceu/common/data/machines/GCYMMachines.java:638</t>
  </si>
  <si>
    <t>https://github.com/Nxer/Twist-Space-Technology-Mod/blob/73571514cf8a1527db4975680456748ba32f373d/src/main/java/com/Nxer/TwistSpaceTechnology/recipe/craftRecipe/machine/GTCMMachineRecipes.java#L798</t>
  </si>
  <si>
    <t>https://github.com/GregTechCEu/GregTech-Modern/blob/8cd929b289460ed0c35f8b931b68dd8a518876d1/src/main/java/com/gregtechceu/gtceu/common/data/machines/GCYMMachines.java#L638</t>
  </si>
  <si>
    <t>PreciseHighEnergyPhotonicQuantumMaster</t>
  </si>
  <si>
    <t>GT_TileEntity_PreciseHighEnergyPhotonicQuantumMaster</t>
  </si>
  <si>
    <t>LARGE_ENGRAVING_LASER</t>
  </si>
  <si>
    <t>laser engraver</t>
  </si>
  <si>
    <t>src/main/java/com/Nxer/TwistSpaceTechnology/recipe/craftRecipe/machine/GTCMMachineRecipes.java:314</t>
  </si>
  <si>
    <t>src/main/java/com/gregtechceu/gtceu/common/data/machines/GCYMMachines.java:376</t>
  </si>
  <si>
    <t>https://github.com/Nxer/Twist-Space-Technology-Mod/blob/73571514cf8a1527db4975680456748ba32f373d/src/main/java/com/Nxer/TwistSpaceTechnology/recipe/craftRecipe/machine/GTCMMachineRecipes.java#L314</t>
  </si>
  <si>
    <t>https://github.com/GregTechCEu/GregTech-Modern/blob/8cd929b289460ed0c35f8b931b68dd8a518876d1/src/main/java/com/gregtechceu/gtceu/common/data/machines/GCYMMachines.java#L376</t>
  </si>
  <si>
    <t>Scavenger</t>
  </si>
  <si>
    <t>TST_Scavenger</t>
  </si>
  <si>
    <t>LARGE_SIFTING_FUNNEL</t>
  </si>
  <si>
    <t>sifter</t>
  </si>
  <si>
    <t>src/main/java/com/Nxer/TwistSpaceTechnology/recipe/craftRecipe/machine/GTCMMachineRecipes.java:1511</t>
  </si>
  <si>
    <t>src/main/java/com/gregtechceu/gtceu/common/data/machines/GCYMMachines.java:408</t>
  </si>
  <si>
    <t>https://github.com/Nxer/Twist-Space-Technology-Mod/blob/73571514cf8a1527db4975680456748ba32f373d/src/main/java/com/Nxer/TwistSpaceTechnology/recipe/craftRecipe/machine/GTCMMachineRecipes.java#L1511</t>
  </si>
  <si>
    <t>https://github.com/GregTechCEu/GregTech-Modern/blob/8cd929b289460ed0c35f8b931b68dd8a518876d1/src/main/java/com/gregtechceu/gtceu/common/data/machines/GCYMMachines.java#L408</t>
  </si>
  <si>
    <t>Silksong</t>
  </si>
  <si>
    <t>GT_TileEntity_Silksong</t>
  </si>
  <si>
    <t>LARGE_WIREMILL</t>
  </si>
  <si>
    <t>wiremill</t>
  </si>
  <si>
    <t>src/main/java/com/Nxer/TwistSpaceTechnology/recipe/craftRecipe/machine/GTCMMachineRecipes.java:899</t>
  </si>
  <si>
    <t>src/main/java/com/gregtechceu/gtceu/common/data/machines/GCYMMachines.java:720</t>
  </si>
  <si>
    <t>https://github.com/Nxer/Twist-Space-Technology-Mod/blob/73571514cf8a1527db4975680456748ba32f373d/src/main/java/com/Nxer/TwistSpaceTechnology/recipe/craftRecipe/machine/GTCMMachineRecipes.java#L899</t>
  </si>
  <si>
    <t>https://github.com/GregTechCEu/GregTech-Modern/blob/8cd929b289460ed0c35f8b931b68dd8a518876d1/src/main/java/com/gregtechceu/gtceu/common/data/machines/GCYMMachines.java#L720</t>
  </si>
  <si>
    <t>SpaceScaler</t>
  </si>
  <si>
    <t>GT_TileEntity_SpaceScaler</t>
  </si>
  <si>
    <t>IMPLOSION_COMPRESSOR + LARGE_EXTRACTOR</t>
  </si>
  <si>
    <t>compressor / extractor / implosion</t>
  </si>
  <si>
    <t>src/main/java/com/Nxer/TwistSpaceTechnology/recipe/craftRecipe/machine/GTCMMachineRecipes.java:1016</t>
  </si>
  <si>
    <t>src/main/java/com/gregtechceu/gtceu/common/data/machines/GTMultiMachines.java:215</t>
  </si>
  <si>
    <t>https://github.com/Nxer/Twist-Space-Technology-Mod/blob/73571514cf8a1527db4975680456748ba32f373d/src/main/java/com/Nxer/TwistSpaceTechnology/recipe/craftRecipe/machine/GTCMMachineRecipes.java#L1016</t>
  </si>
  <si>
    <t>https://github.com/GregTechCEu/GregTech-Modern/blob/8cd929b289460ed0c35f8b931b68dd8a518876d1/src/main/java/com/gregtechceu/gtceu/common/data/machines/GTMultiMachines.java#L215</t>
  </si>
  <si>
    <t>SwelegfyrBlastFurnace</t>
  </si>
  <si>
    <t>TST_SwelegfyrBlastFurnace</t>
  </si>
  <si>
    <t>ELECTRIC_BLAST_FURNACE + MEGA_BLAST_FURNACE</t>
  </si>
  <si>
    <t>blast furnace</t>
  </si>
  <si>
    <t>src/main/java/com/Nxer/TwistSpaceTechnology/recipe/craftRecipe/machine/GTCMMachineRecipes.java:3278</t>
  </si>
  <si>
    <t>src/main/java/com/gregtechceu/gtceu/common/data/machines/GTMultiMachines.java:141</t>
  </si>
  <si>
    <t>https://github.com/Nxer/Twist-Space-Technology-Mod/blob/73571514cf8a1527db4975680456748ba32f373d/src/main/java/com/Nxer/TwistSpaceTechnology/recipe/craftRecipe/machine/GTCMMachineRecipes.java#L3278</t>
  </si>
  <si>
    <t>https://github.com/GregTechCEu/GregTech-Modern/blob/8cd929b289460ed0c35f8b931b68dd8a518876d1/src/main/java/com/gregtechceu/gtceu/common/data/machines/GTMultiMachines.java#L141</t>
  </si>
  <si>
    <t>ThermalEnergyDevourer</t>
  </si>
  <si>
    <t>TST_ThermalEnergyDevourer</t>
  </si>
  <si>
    <t>VACUUM_FREEZER</t>
  </si>
  <si>
    <t>vacuum freezing</t>
  </si>
  <si>
    <t>src/main/java/com/Nxer/TwistSpaceTechnology/recipe/craftRecipe/machine/GTCMMachineRecipes.java:1657</t>
  </si>
  <si>
    <t>src/main/java/com/gregtechceu/gtceu/common/data/machines/GTMultiMachines.java:391</t>
  </si>
  <si>
    <t>https://github.com/Nxer/Twist-Space-Technology-Mod/blob/73571514cf8a1527db4975680456748ba32f373d/src/main/java/com/Nxer/TwistSpaceTechnology/recipe/craftRecipe/machine/GTCMMachineRecipes.java#L1657</t>
  </si>
  <si>
    <t>https://github.com/GregTechCEu/GregTech-Modern/blob/8cd929b289460ed0c35f8b931b68dd8a518876d1/src/main/java/com/gregtechceu/gtceu/common/data/machines/GTMultiMachines.java#L391</t>
  </si>
  <si>
    <t>VacuumFilterExtractor</t>
  </si>
  <si>
    <t>TST_VacuumFilterExtractor</t>
  </si>
  <si>
    <t>DISTILLATION_TOWER + LARGE_DISTILLERY</t>
  </si>
  <si>
    <t>distillation / distillery</t>
  </si>
  <si>
    <t>src/main/java/com/Nxer/TwistSpaceTechnology/recipe/craftRecipe/machine/GTCMMachineRecipes.java:1753</t>
  </si>
  <si>
    <t>src/main/java/com/gregtechceu/gtceu/common/data/machines/GTMultiMachines.java:352</t>
  </si>
  <si>
    <t>https://github.com/Nxer/Twist-Space-Technology-Mod/blob/73571514cf8a1527db4975680456748ba32f373d/src/main/java/com/Nxer/TwistSpaceTechnology/recipe/craftRecipe/machine/GTCMMachineRecipes.java#L1753</t>
  </si>
  <si>
    <t>https://github.com/GregTechCEu/GregTech-Modern/blob/8cd929b289460ed0c35f8b931b68dd8a518876d1/src/main/java/com/gregtechceu/gtceu/common/data/machines/GTMultiMachines.java#L352</t>
  </si>
  <si>
    <t>superCleanRoom</t>
  </si>
  <si>
    <t>ZPM+?</t>
  </si>
  <si>
    <t>TST_CleanRoom</t>
  </si>
  <si>
    <t>CLEANROOM</t>
  </si>
  <si>
    <t>cleanroom environment</t>
  </si>
  <si>
    <t>src/main/java/com/Nxer/TwistSpaceTechnology/common/machine/TST_CleanRoom.java (controller active; không thấy recipe chế tạo trực tiếp)</t>
  </si>
  <si>
    <t>src/main/java/com/gregtechceu/gtceu/common/data/machines/GTMultiMachines.java:684</t>
  </si>
  <si>
    <t>https://github.com/Nxer/Twist-Space-Technology-Mod/blob/73571514cf8a1527db4975680456748ba32f373d/src/main/java/com/Nxer/TwistSpaceTechnology/common/machine/TST_CleanRoom.java</t>
  </si>
  <si>
    <t>https://github.com/GregTechCEu/GregTech-Modern/blob/8cd929b289460ed0c35f8b931b68dd8a518876d1/src/main/java/com/gregtechceu/gtceu/common/data/machines/GTMultiMachines.java#L684</t>
  </si>
  <si>
    <t>CoreDeviceOfHumanPowerGenerationFacility</t>
  </si>
  <si>
    <t>TST_CoreDeviceOfHumanPowerGenerationFacility</t>
  </si>
  <si>
    <t>LARGE_BREWER + tiered FLUID_HEATER</t>
  </si>
  <si>
    <t>fluid heater; Perfect OC, coil speed bonus và unlimited parallel</t>
  </si>
  <si>
    <t>LOẠI controller khỏi backlog: source chỉ trả về fluidHeaterRecipes, không phát điện. GTCEu đã có Fluid Heater đơn khối và LARGE_BREWER chạy FLUID_HEATER_RECIPES với Parallel Hatch. Chỉ port recipe thật sự mới; không port infinite parallel.</t>
  </si>
  <si>
    <t>src/main/java/com/Nxer/TwistSpaceTechnology/common/machine/TST_CoreDeviceOfHumanPowerGenerationFacility.java:108</t>
  </si>
  <si>
    <t>https://github.com/Nxer/Twist-Space-Technology-Mod/blob/73571514cf8a1527db4975680456748ba32f373d/src/main/java/com/Nxer/TwistSpaceTechnology/common/machine/TST_CoreDeviceOfHumanPowerGenerationFacility.java#L108</t>
  </si>
  <si>
    <t>Controller ngoài phạm vi ZPM → endgame</t>
  </si>
  <si>
    <t>23 controller còn ngoài phạm vi. MeteorMiner đã được chuyển sang backlog theo đánh dấu xanh nhưng vẫn phải xác minh recipe controller và tier.</t>
  </si>
  <si>
    <t>Lý do loại phạm vi</t>
  </si>
  <si>
    <t>MachineLoader line</t>
  </si>
  <si>
    <t>AdvancedMegaOilCracker</t>
  </si>
  <si>
    <t>TST_AdvancedMegaOilCracker</t>
  </si>
  <si>
    <t>Không có bằng chứng mở khóa ZPM+ đáng tin cậy trong recipe tạo controller, hoặc controller thuộc giai đoạn thấp hơn.</t>
  </si>
  <si>
    <t>src/main/java/com/Nxer/TwistSpaceTechnology/common/machine/TST_AdvancedMegaOilCracker.java</t>
  </si>
  <si>
    <t>https://github.com/Nxer/Twist-Space-Technology-Mod/blob/73571514cf8a1527db4975680456748ba32f373d/src/main/java/com/Nxer/TwistSpaceTechnology/common/machine/TST_AdvancedMegaOilCracker.java</t>
  </si>
  <si>
    <t>BigBroArray</t>
  </si>
  <si>
    <t>TST_BigBroArray</t>
  </si>
  <si>
    <t>src/main/java/com/Nxer/TwistSpaceTechnology/common/machine/TST_BigBroArray.java</t>
  </si>
  <si>
    <t>https://github.com/Nxer/Twist-Space-Technology-Mod/blob/73571514cf8a1527db4975680456748ba32f373d/src/main/java/com/Nxer/TwistSpaceTechnology/common/machine/TST_BigBroArray.java</t>
  </si>
  <si>
    <t>BloodyHell</t>
  </si>
  <si>
    <t>TST_BloodyHell</t>
  </si>
  <si>
    <t>src/main/java/com/Nxer/TwistSpaceTechnology/common/machine/TST_BloodyHell.java</t>
  </si>
  <si>
    <t>https://github.com/Nxer/Twist-Space-Technology-Mod/blob/73571514cf8a1527db4975680456748ba32f373d/src/main/java/com/Nxer/TwistSpaceTechnology/common/machine/TST_BloodyHell.java</t>
  </si>
  <si>
    <t>CircuitConverter</t>
  </si>
  <si>
    <t>TST_CircuitConverter</t>
  </si>
  <si>
    <t>src/main/java/com/Nxer/TwistSpaceTechnology/system/CircuitConverter/machines/TST_CircuitConverter.java</t>
  </si>
  <si>
    <t>https://github.com/Nxer/Twist-Space-Technology-Mod/blob/73571514cf8a1527db4975680456748ba32f373d/src/main/java/com/Nxer/TwistSpaceTechnology/system/CircuitConverter/machines/TST_CircuitConverter.java</t>
  </si>
  <si>
    <t>ElvenWorkshop</t>
  </si>
  <si>
    <t>GTCM_ElvenWorkshop</t>
  </si>
  <si>
    <t>src/main/java/com/Nxer/TwistSpaceTechnology/common/machine/GTCM_ElvenWorkshop.java</t>
  </si>
  <si>
    <t>https://github.com/Nxer/Twist-Space-Technology-Mod/blob/73571514cf8a1527db4975680456748ba32f373d/src/main/java/com/Nxer/TwistSpaceTechnology/common/machine/GTCM_ElvenWorkshop.java</t>
  </si>
  <si>
    <t>ExtremeCraftCenter</t>
  </si>
  <si>
    <t>TST_MegaCraftingCenter</t>
  </si>
  <si>
    <t>src/main/java/com/Nxer/TwistSpaceTechnology/common/machine/TST_MegaCraftingCenter.java</t>
  </si>
  <si>
    <t>https://github.com/Nxer/Twist-Space-Technology-Mod/blob/73571514cf8a1527db4975680456748ba32f373d/src/main/java/com/Nxer/TwistSpaceTechnology/common/machine/TST_MegaCraftingCenter.java</t>
  </si>
  <si>
    <t>EyeOfWood</t>
  </si>
  <si>
    <t>TST_EyeOfWood</t>
  </si>
  <si>
    <t>src/main/java/com/Nxer/TwistSpaceTechnology/common/machine/TST_EyeOfWood.java</t>
  </si>
  <si>
    <t>https://github.com/Nxer/Twist-Space-Technology-Mod/blob/73571514cf8a1527db4975680456748ba32f373d/src/main/java/com/Nxer/TwistSpaceTechnology/common/machine/TST_EyeOfWood.java</t>
  </si>
  <si>
    <t>IndustrialAlchemyTower</t>
  </si>
  <si>
    <t>TST_IndustrialAlchemyTower</t>
  </si>
  <si>
    <t>src/main/java/com/Nxer/TwistSpaceTechnology/common/machine/TST_IndustrialAlchemyTower.java</t>
  </si>
  <si>
    <t>https://github.com/Nxer/Twist-Space-Technology-Mod/blob/73571514cf8a1527db4975680456748ba32f373d/src/main/java/com/Nxer/TwistSpaceTechnology/common/machine/TST_IndustrialAlchemyTower.java</t>
  </si>
  <si>
    <t>IndustrialMagicMatrix</t>
  </si>
  <si>
    <t>GT_TileEntity_IndustrialMagicMatrix</t>
  </si>
  <si>
    <t>src/main/java/com/Nxer/TwistSpaceTechnology/common/machine/GT_TileEntity_IndustrialMagicMatrix.java</t>
  </si>
  <si>
    <t>https://github.com/Nxer/Twist-Space-Technology-Mod/blob/73571514cf8a1527db4975680456748ba32f373d/src/main/java/com/Nxer/TwistSpaceTechnology/common/machine/GT_TileEntity_IndustrialMagicMatrix.java</t>
  </si>
  <si>
    <t>IndustrialMagnetarSeparator</t>
  </si>
  <si>
    <t>TST_IndustrialMagnetarSeparator</t>
  </si>
  <si>
    <t>src/main/java/com/Nxer/TwistSpaceTechnology/common/machine/TST_IndustrialMagnetarSeparator.java</t>
  </si>
  <si>
    <t>https://github.com/Nxer/Twist-Space-Technology-Mod/blob/73571514cf8a1527db4975680456748ba32f373d/src/main/java/com/Nxer/TwistSpaceTechnology/common/machine/TST_IndustrialMagnetarSeparator.java</t>
  </si>
  <si>
    <t>InfusionMaterialDispenser</t>
  </si>
  <si>
    <t>TST_InfusionMaterialDispenser</t>
  </si>
  <si>
    <t>src/main/java/com/Nxer/TwistSpaceTechnology/common/machine/TST_InfusionMaterialDispenser.java</t>
  </si>
  <si>
    <t>https://github.com/Nxer/Twist-Space-Technology-Mod/blob/73571514cf8a1527db4975680456748ba32f373d/src/main/java/com/Nxer/TwistSpaceTechnology/common/machine/TST_InfusionMaterialDispenser.java</t>
  </si>
  <si>
    <t>LargeSolarBoiler</t>
  </si>
  <si>
    <t>TST_LargeSolarBoiler</t>
  </si>
  <si>
    <t>src/main/java/com/Nxer/TwistSpaceTechnology/common/machine/GeneratorMultis/TST_LargeSolarBoiler.java</t>
  </si>
  <si>
    <t>https://github.com/Nxer/Twist-Space-Technology-Mod/blob/73571514cf8a1527db4975680456748ba32f373d/src/main/java/com/Nxer/TwistSpaceTechnology/common/machine/GeneratorMultis/TST_LargeSolarBoiler.java</t>
  </si>
  <si>
    <t>LargeSteamAlloySmelter</t>
  </si>
  <si>
    <t>TST_LargeSteamAlloySmelter</t>
  </si>
  <si>
    <t>src/main/java/com/Nxer/TwistSpaceTechnology/common/machine/TST_LargeSteamAlloySmelter.java</t>
  </si>
  <si>
    <t>https://github.com/Nxer/Twist-Space-Technology-Mod/blob/73571514cf8a1527db4975680456748ba32f373d/src/main/java/com/Nxer/TwistSpaceTechnology/common/machine/TST_LargeSteamAlloySmelter.java</t>
  </si>
  <si>
    <t>LargeSteamForgeHammer</t>
  </si>
  <si>
    <t>TST_LargeSteamForgeHammer</t>
  </si>
  <si>
    <t>src/main/java/com/Nxer/TwistSpaceTechnology/common/machine/TST_LargeSteamForgeHammer.java</t>
  </si>
  <si>
    <t>https://github.com/Nxer/Twist-Space-Technology-Mod/blob/73571514cf8a1527db4975680456748ba32f373d/src/main/java/com/Nxer/TwistSpaceTechnology/common/machine/TST_LargeSteamForgeHammer.java</t>
  </si>
  <si>
    <t>LightningSpire</t>
  </si>
  <si>
    <t>GTCM_LightningSpire</t>
  </si>
  <si>
    <t>src/main/java/com/Nxer/TwistSpaceTechnology/common/machine/GeneratorMultis/GTCM_LightningSpire.java</t>
  </si>
  <si>
    <t>https://github.com/Nxer/Twist-Space-Technology-Mod/blob/73571514cf8a1527db4975680456748ba32f373d/src/main/java/com/Nxer/TwistSpaceTechnology/common/machine/GeneratorMultis/GTCM_LightningSpire.java</t>
  </si>
  <si>
    <t>ManufacturingCenter</t>
  </si>
  <si>
    <t>TST_ManufacturingCenter</t>
  </si>
  <si>
    <t>src/main/java/com/Nxer/TwistSpaceTechnology/common/machine/TST_ManufacturingCenter.java</t>
  </si>
  <si>
    <t>https://github.com/Nxer/Twist-Space-Technology-Mod/blob/73571514cf8a1527db4975680456748ba32f373d/src/main/java/com/Nxer/TwistSpaceTechnology/common/machine/TST_ManufacturingCenter.java</t>
  </si>
  <si>
    <t>MegaBrickedBlastFurnace</t>
  </si>
  <si>
    <t>GT_TileEntity_MegaBrickedBlastFurnace</t>
  </si>
  <si>
    <t>src/main/java/com/Nxer/TwistSpaceTechnology/common/machine/GT_TileEntity_MegaBrickedBlastFurnace.java</t>
  </si>
  <si>
    <t>https://github.com/Nxer/Twist-Space-Technology-Mod/blob/73571514cf8a1527db4975680456748ba32f373d/src/main/java/com/Nxer/TwistSpaceTechnology/common/machine/GT_TileEntity_MegaBrickedBlastFurnace.java</t>
  </si>
  <si>
    <t>MegaEggGenerator</t>
  </si>
  <si>
    <t>GT_TileEntity_MegaEggGenerator</t>
  </si>
  <si>
    <t>src/main/java/com/Nxer/TwistSpaceTechnology/common/machine/GeneratorMultis/GT_TileEntity_MegaEggGenerator.java</t>
  </si>
  <si>
    <t>https://github.com/Nxer/Twist-Space-Technology-Mod/blob/73571514cf8a1527db4975680456748ba32f373d/src/main/java/com/Nxer/TwistSpaceTechnology/common/machine/GeneratorMultis/GT_TileEntity_MegaEggGenerator.java</t>
  </si>
  <si>
    <t>PrimordialDisjunctus</t>
  </si>
  <si>
    <t>TST_PrimordialDisjunctus</t>
  </si>
  <si>
    <t>src/main/java/com/Nxer/TwistSpaceTechnology/common/machine/TST_PrimordialDisjunctus.java</t>
  </si>
  <si>
    <t>https://github.com/Nxer/Twist-Space-Technology-Mod/blob/73571514cf8a1527db4975680456748ba32f373d/src/main/java/com/Nxer/TwistSpaceTechnology/common/machine/TST_PrimordialDisjunctus.java</t>
  </si>
  <si>
    <t>ProcessingArray</t>
  </si>
  <si>
    <t>TST_ProcessingArray</t>
  </si>
  <si>
    <t>src/main/java/com/Nxer/TwistSpaceTechnology/common/machine/TST_ProcessingArray.java</t>
  </si>
  <si>
    <t>https://github.com/Nxer/Twist-Space-Technology-Mod/blob/73571514cf8a1527db4975680456748ba32f373d/src/main/java/com/Nxer/TwistSpaceTechnology/common/machine/TST_ProcessingArray.java</t>
  </si>
  <si>
    <t>SkypiercerTower</t>
  </si>
  <si>
    <t>TST_SkypiercerTower</t>
  </si>
  <si>
    <t>src/main/java/com/Nxer/TwistSpaceTechnology/common/machine/TST_SkypiercerTower.java</t>
  </si>
  <si>
    <t>https://github.com/Nxer/Twist-Space-Technology-Mod/blob/73571514cf8a1527db4975680456748ba32f373d/src/main/java/com/Nxer/TwistSpaceTechnology/common/machine/TST_SkypiercerTower.java</t>
  </si>
  <si>
    <t>SteamBasicGenerator</t>
  </si>
  <si>
    <t>TST_SteamBasicGenerator</t>
  </si>
  <si>
    <t>src/main/java/com/Nxer/TwistSpaceTechnology/common/machine/GeneratorMultis/TST_SteamBasicGenerator.java</t>
  </si>
  <si>
    <t>https://github.com/Nxer/Twist-Space-Technology-Mod/blob/73571514cf8a1527db4975680456748ba32f373d/src/main/java/com/Nxer/TwistSpaceTechnology/common/machine/GeneratorMultis/TST_SteamBasicGenerator.java</t>
  </si>
  <si>
    <t>UniversalGenerator</t>
  </si>
  <si>
    <t>TST_UniversalGenerator</t>
  </si>
  <si>
    <t>src/main/java/com/Nxer/TwistSpaceTechnology/common/machine/GeneratorMultis/TST_UniversalGenerator.java</t>
  </si>
  <si>
    <t>https://github.com/Nxer/Twist-Space-Technology-Mod/blob/73571514cf8a1527db4975680456748ba32f373d/src/main/java/com/Nxer/TwistSpaceTechnology/common/machine/GeneratorMultis/TST_UniversalGenerator.java</t>
  </si>
  <si>
    <t>GTCEu 1.20.1 API / code anchors</t>
  </si>
  <si>
    <t>Các path được kiểm tra tại commit ghi trong sheet Phương pháp &amp; nguồn.</t>
  </si>
  <si>
    <t>Chủ đề</t>
  </si>
  <si>
    <t>Class/API/registry</t>
  </si>
  <si>
    <t>Path trong GregTech Modern</t>
  </si>
  <si>
    <t>Cách dùng khi port</t>
  </si>
  <si>
    <t>URL source</t>
  </si>
  <si>
    <t>Ghi chú</t>
  </si>
  <si>
    <t>Đăng ký multiblock</t>
  </si>
  <si>
    <t>MultiblockMachineBuilder</t>
  </si>
  <si>
    <t>src/main/java/com/gregtechceu/gtceu/api/registry/registrate/MultiblockMachineBuilder.java</t>
  </si>
  <si>
    <t>Đăng ký definition, pattern, recipe types/modifiers</t>
  </si>
  <si>
    <t>https://github.com/GregTechCEu/GregTech-Modern/blob/8cd929b289460ed0c35f8b931b68dd8a518876d1/src/main/java/com/gregtechceu/gtceu/api/registry/registrate/MultiblockMachineBuilder.java</t>
  </si>
  <si>
    <t>Nền tảng controller mới</t>
  </si>
  <si>
    <t>Pattern</t>
  </si>
  <si>
    <t>MultiblockPatternBuilder</t>
  </si>
  <si>
    <t>src/main/java/com/gregtechceu/gtceu/api/multiblock/pattern/MultiblockPatternBuilder.java</t>
  </si>
  <si>
    <t>Chuyển StructureLib shape sang aisle/where</t>
  </si>
  <si>
    <t>https://github.com/GregTechCEu/GregTech-Modern/blob/8cd929b289460ed0c35f8b931b68dd8a518876d1/src/main/java/com/gregtechceu/gtceu/api/multiblock/pattern/MultiblockPatternBuilder.java</t>
  </si>
  <si>
    <t>Không port StructureLib trực tiếp</t>
  </si>
  <si>
    <t>Hatch/ability</t>
  </si>
  <si>
    <t>Predicates + PartAbility</t>
  </si>
  <si>
    <t>src/main/java/com/gregtechceu/gtceu/api/multiblock/Predicates.java</t>
  </si>
  <si>
    <t>Items/fluids/energy/laser/computation/data</t>
  </si>
  <si>
    <t>https://github.com/GregTechCEu/GregTech-Modern/blob/8cd929b289460ed0c35f8b931b68dd8a518876d1/src/main/java/com/gregtechceu/gtceu/api/multiblock/Predicates.java</t>
  </si>
  <si>
    <t>Đặt giới hạn ability rõ ràng</t>
  </si>
  <si>
    <t>Máy xử lý</t>
  </si>
  <si>
    <t>WorkableElectricMultiblockMachine</t>
  </si>
  <si>
    <t>src/main/java/com/gregtechceu/gtceu/api/machine/multiblock/WorkableElectricMultiblockMachine.java</t>
  </si>
  <si>
    <t>Base cho processor</t>
  </si>
  <si>
    <t>https://github.com/GregTechCEu/GregTech-Modern/blob/8cd929b289460ed0c35f8b931b68dd8a518876d1/src/main/java/com/gregtechceu/gtceu/api/machine/multiblock/WorkableElectricMultiblockMachine.java</t>
  </si>
  <si>
    <t>Gắn RecipeModifier</t>
  </si>
  <si>
    <t>Recipe scaling</t>
  </si>
  <si>
    <t>RecipeModifier</t>
  </si>
  <si>
    <t>src/main/java/com/gregtechceu/gtceu/api/recipe/modifier/RecipeModifier.java</t>
  </si>
  <si>
    <t>Parallel, EU/t, duration, OC và điều kiện custom</t>
  </si>
  <si>
    <t>https://github.com/GregTechCEu/GregTech-Modern/blob/8cd929b289460ed0c35f8b931b68dd8a518876d1/src/main/java/com/gregtechceu/gtceu/api/recipe/modifier/RecipeModifier.java</t>
  </si>
  <si>
    <t>Không copy ProcessingLogic 1.7.10</t>
  </si>
  <si>
    <t>Recipe types</t>
  </si>
  <si>
    <t>GTRecipeTypes</t>
  </si>
  <si>
    <t>src/main/java/com/gregtechceu/gtceu/common/data/GTRecipeTypes.java</t>
  </si>
  <si>
    <t>Tái dùng recipe type khi semantics khớp</t>
  </si>
  <si>
    <t>https://github.com/GregTechCEu/GregTech-Modern/blob/8cd929b289460ed0c35f8b931b68dd8a518876d1/src/main/java/com/gregtechceu/gtceu/common/data/GTRecipeTypes.java</t>
  </si>
  <si>
    <t>Custom type khi không khớp</t>
  </si>
  <si>
    <t>Registry core</t>
  </si>
  <si>
    <t>GTMultiMachines</t>
  </si>
  <si>
    <t>src/main/java/com/gregtechceu/gtceu/common/data/machines/GTMultiMachines.java</t>
  </si>
  <si>
    <t>Đối chiếu EBF, LCR, vacuum, distillation, miner, cleanroom…</t>
  </si>
  <si>
    <t>https://github.com/GregTechCEu/GregTech-Modern/blob/8cd929b289460ed0c35f8b931b68dd8a518876d1/src/main/java/com/gregtechceu/gtceu/common/data/machines/GTMultiMachines.java</t>
  </si>
  <si>
    <t>Nguồn loại máy trùng</t>
  </si>
  <si>
    <t>Registry GCYM</t>
  </si>
  <si>
    <t>GCYMMachines</t>
  </si>
  <si>
    <t>src/main/java/com/gregtechceu/gtceu/common/data/machines/GCYMMachines.java</t>
  </si>
  <si>
    <t>Đối chiếu large processors</t>
  </si>
  <si>
    <t>https://github.com/GregTechCEu/GregTech-Modern/blob/8cd929b289460ed0c35f8b931b68dd8a518876d1/src/main/java/com/gregtechceu/gtceu/common/data/machines/GCYMMachines.java</t>
  </si>
  <si>
    <t>Computation</t>
  </si>
  <si>
    <t>GTResearchMachines / HPCA</t>
  </si>
  <si>
    <t>src/main/java/com/gregtechceu/gtceu/common/data/machines/GTResearchMachines.java</t>
  </si>
  <si>
    <t>HPCA và computation abilities</t>
  </si>
  <si>
    <t>https://github.com/GregTechCEu/GregTech-Modern/blob/8cd929b289460ed0c35f8b931b68dd8a518876d1/src/main/java/com/gregtechceu/gtceu/common/data/machines/GTResearchMachines.java</t>
  </si>
  <si>
    <t>Thay Astral Computing Array</t>
  </si>
  <si>
    <t>Fluid Heater overlap</t>
  </si>
  <si>
    <t>FLUID_HEATER + LARGE_BREWER</t>
  </si>
  <si>
    <t>GTMachines.java:261; GCYMMachines.java:540</t>
  </si>
  <si>
    <t>Tiered Fluid Heater có sẵn; LARGE_BREWER nhận FLUID_HEATER_RECIPES và hỗ trợ Parallel Hatch</t>
  </si>
  <si>
    <t>Lý do loại Core Device khỏi backlog controller mới</t>
  </si>
  <si>
    <t>Phương pháp, phạm vi &amp; nguồn</t>
  </si>
  <si>
    <t>Tiêu chí lọc có thể audit và lặp lại khi source thay đổi.</t>
  </si>
  <si>
    <t>Mục</t>
  </si>
  <si>
    <t>Chi tiết</t>
  </si>
  <si>
    <t>Ý nghĩa</t>
  </si>
  <si>
    <t>Hành động</t>
  </si>
  <si>
    <t>TST repository</t>
  </si>
  <si>
    <t>https://github.com/Nxer/Twist-Space-Technology-Mod</t>
  </si>
  <si>
    <t>Có controller class và recipe/gate source trực tiếp</t>
  </si>
  <si>
    <t>Có thể bắt đầu port</t>
  </si>
  <si>
    <t>TST commit</t>
  </si>
  <si>
    <t>73571514cf8a1527db4975680456748ba32f373d</t>
  </si>
  <si>
    <t>Feature/code rõ nhưng recipe/progression còn thiếu</t>
  </si>
  <si>
    <t>Xác minh config/pack trước</t>
  </si>
  <si>
    <t>GTCEu repository</t>
  </si>
  <si>
    <t>https://github.com/GregTechCEu/GregTech-Modern/tree/1.20.1</t>
  </si>
  <si>
    <t>Low</t>
  </si>
  <si>
    <t>Chỉ suy luận từ tên/tooltip</t>
  </si>
  <si>
    <t>Không đưa vào danh sách chính</t>
  </si>
  <si>
    <t>GTCEu commit</t>
  </si>
  <si>
    <t>8cd929b289460ed0c35f8b931b68dd8a518876d1</t>
  </si>
  <si>
    <t>Bước 1 — inventory</t>
  </si>
  <si>
    <t>Bóc toàn bộ GTCMItemList.*.set(...) trong MachineLoader, bỏ block comment; xác nhận multiblock qua inheritance/structure definition.</t>
  </si>
  <si>
    <t>Bước 2 — lọc stage</t>
  </si>
  <si>
    <t>Đọc đúng block recipe tạo controller. Mốc mở khóa ước tính là tier cao hơn giữa recipe EU/t và linh kiện tiered bắt buộc; recipe shaped/Thaumcraft/TTRecipeAdder được xử lý riêng.</t>
  </si>
  <si>
    <t>Bước 3 — loại trùng</t>
  </si>
  <si>
    <t>So recipe maps/getAvailableRecipeMaps và chức năng lõi với GTMultiMachines, GCYMMachines và GTResearchMachines/HPCA. Nếu large machine hiện có làm cùng việc, loại khỏi backlog controller mới.</t>
  </si>
  <si>
    <t>Không loại chỉ vì single-block</t>
  </si>
  <si>
    <t>Nếu GTCEu chỉ có machine đơn hoặc recipe type nhưng chưa có large-machine tương ứng, vẫn giữ multiblock TST để port.</t>
  </si>
  <si>
    <t>Kết quả audit</t>
  </si>
  <si>
    <t>77 active = 25 backlog + 26 loại trùng + 23 ngoài phạm vi + 3 người dùng loại theo màu đỏ.</t>
  </si>
  <si>
    <t>File Excel người dùng</t>
  </si>
  <si>
    <t>File (2) là backlog/quyết định; file Full chỉ bổ sung bố cục. Machine facts phải xác minh bằng source TST và GTCEu.</t>
  </si>
  <si>
    <t>Ngoại lệ</t>
  </si>
  <si>
    <t>HyperSpacetimeTransformer: active controller + recipe maps nhưng chưa thấy recipe chế tạo controller; giữ confidence Medium để không bỏ sót code endgame.</t>
  </si>
  <si>
    <t>Quy tắc màu đỏ</t>
  </si>
  <si>
    <t>Xóa machine khỏi danh sách và mapping.</t>
  </si>
  <si>
    <t>Quy tắc màu vàng</t>
  </si>
  <si>
    <t>Audit source TST/GTCEu; chỉ giữ khi có recipe hoặc cơ chế riêng đáng port.</t>
  </si>
  <si>
    <t>Quy tắc màu xanh</t>
  </si>
  <si>
    <t>Đưa machine vào backlog để audit và mapping trong phase sau.</t>
  </si>
  <si>
    <t>Hiệu chỉnh Core Device</t>
  </si>
  <si>
    <t>TST_CoreDeviceOfHumanPowerGenerationFacility.getRecipeMap() trả về fluidHeaterRecipes; Perfect OC/infinite parallel/coil bonus không biến nó thành máy phát điện.</t>
  </si>
  <si>
    <t>GTCEu đã có tiered Fluid Heater và LARGE_BREWER nhận FLUID_HEATER_RECIPES + Parallel Hatch.</t>
  </si>
  <si>
    <t>Chuyển sang overlap; không port controller/infinite parallel, chỉ port recipe thật sự mới nếu có.</t>
  </si>
  <si>
    <t>DANH SÁCH BLOCK/CASING VÀ TEXTURE GỐC – 25 MÁY TST</t>
  </si>
  <si>
    <t>Structure đọc trực tiếp từ 25 class TST. Texture gốc lấy từ TST/GT5; 11 dòng thiếu đã được xử lý bằng block GTCEu/vanilla hoặc texture TST Modern thiết kế mới.</t>
  </si>
  <si>
    <t>Số máy</t>
  </si>
  <si>
    <t>Tổng dòng</t>
  </si>
  <si>
    <t>Đã có texture</t>
  </si>
  <si>
    <t>Còn thiếu</t>
  </si>
  <si>
    <t>File texture đã copy</t>
  </si>
  <si>
    <t>Quy ước trạng thái mới: xanh lá = dùng trực tiếp; xanh dương = GTCEu tương đương; tím = texture TST Modern thiết kế mới; đỏ = vẫn thiếu. Sheet ‘GTCEu có sẵn’ liệt kê các block có thể tái sử dụng.</t>
  </si>
  <si>
    <t>STT máy</t>
  </si>
  <si>
    <t>Máy</t>
  </si>
  <si>
    <t>Structure piece (số vị trí)</t>
  </si>
  <si>
    <t>Ký tự</t>
  </si>
  <si>
    <t>Số block</t>
  </si>
  <si>
    <t>Lựa chọn</t>
  </si>
  <si>
    <t>Loại</t>
  </si>
  <si>
    <t>Block / casing gốc</t>
  </si>
  <si>
    <t>Meta</t>
  </si>
  <si>
    <t>Source structure</t>
  </si>
  <si>
    <t>Dòng</t>
  </si>
  <si>
    <t>Texture nguồn</t>
  </si>
  <si>
    <t>Số texture</t>
  </si>
  <si>
    <t>Folder texture của máy</t>
  </si>
  <si>
    <t>STRUCTURE_PIECE_VP (50); STRUCTURE_PIECE_DTB (14); STRUCTURE_PIECE_DTM (14)</t>
  </si>
  <si>
    <t>A</t>
  </si>
  <si>
    <t>glass_family</t>
  </si>
  <si>
    <t>chainAllGlasses()</t>
  </si>
  <si>
    <t>TST/src/main/java/com/Nxer/TwistSpaceTechnology/common/machine/TST_GiantVacuumDryingFurnace.java</t>
  </si>
  <si>
    <t>D:\tmp\GT5\src\main\resources\assets\bartworks\textures\blocks\BoronSilicateGlassBlock.png
D:\tmp\GT5\src\main\resources\assets\bartworks\textures\blocks\ColoredBoronSilicateGlassBlock1.png
D:\tmp\GT5\src\main\resources\assets\bartworks\textures\blocks\ColoredBoronSilicateGlassBlock2.png
(+47 file khác trong folder máy)</t>
  </si>
  <si>
    <t>texture_block_casing/01_GiantVacuumDryingFurnace</t>
  </si>
  <si>
    <t>ĐÃ TÌM THẤY</t>
  </si>
  <si>
    <t>Family động: GT5 chấp nhận nhiều loại kính; đã gom các texture kính hiện diện trong monorepo GT5.</t>
  </si>
  <si>
    <t>STRUCTURE_PIECE_VP (168)</t>
  </si>
  <si>
    <t>S</t>
  </si>
  <si>
    <t>block</t>
  </si>
  <si>
    <t>GregTechAPI.sBlockCasings4</t>
  </si>
  <si>
    <t>1</t>
  </si>
  <si>
    <t>D:\tmp\GT5\src\main\resources\assets\gregtech\textures\blocks\iconsets\MACHINE_CASING_CLEAN_STAINLESSSTEEL.png</t>
  </si>
  <si>
    <t>Texture truy ngược từ block/meta trong source.</t>
  </si>
  <si>
    <t>STRUCTURE_PIECE_DTB (16); STRUCTURE_PIECE_DTM (7); STRUCTURE_PIECE_DTH (11)</t>
  </si>
  <si>
    <t>G</t>
  </si>
  <si>
    <t>GregTechAPI.sBlockCasings8</t>
  </si>
  <si>
    <t>D:\tmp\GT5\src\main\resources\assets\gregtech\textures\blocks\iconsets\MACHINE_CASING_PIPE_POLYTETRAFLUOROETHYLENE.png</t>
  </si>
  <si>
    <t>STRUCTURE_PIECE_VP (81); STRUCTURE_PIECE_DTB (121); STRUCTURE_PIECE_DTH (20)</t>
  </si>
  <si>
    <t>V</t>
  </si>
  <si>
    <t>0</t>
  </si>
  <si>
    <t>D:\tmp\GT5\src\main\resources\assets\gregtech\textures\blocks\iconsets\MACHINE_CASING_CHEMICALLY_INERT.png</t>
  </si>
  <si>
    <t>STRUCTURE_PIECE_DTB (30); STRUCTURE_PIECE_DTM (56); STRUCTURE_PIECE_DTH (16)</t>
  </si>
  <si>
    <t>I</t>
  </si>
  <si>
    <t>7</t>
  </si>
  <si>
    <t>D:\tmp\GT5\src\main\resources\assets\gregtech\textures\blocks\iconsets\MACHINE_CASING_IRIDIUM.png</t>
  </si>
  <si>
    <t>STRUCTURE_PIECE_DTB (60)</t>
  </si>
  <si>
    <t>F</t>
  </si>
  <si>
    <t>GregTechAPI.sBlockCasings2</t>
  </si>
  <si>
    <t>D:\tmp\GT5\src\main\resources\assets\gregtech\textures\blocks\iconsets\MACHINE_CASING_FROST_PROOF.png</t>
  </si>
  <si>
    <t>STRUCTURE_PIECE_DTB (40)</t>
  </si>
  <si>
    <t>H</t>
  </si>
  <si>
    <t>STRUCTURE_PIECE_DTB (36); STRUCTURE_PIECE_DTM (36)</t>
  </si>
  <si>
    <t>J</t>
  </si>
  <si>
    <t>ModBlocks.blockCasings4Misc</t>
  </si>
  <si>
    <t>10</t>
  </si>
  <si>
    <t>D:\tmp\GT5\src\main\resources\assets\gregtech\textures\blocks\iconsets\VACUUM_CASING_TOP.png
D:\tmp\GT5\src\main\resources\assets\gregtech\textures\blocks\iconsets\VACUUM_CASING_SIDE.png</t>
  </si>
  <si>
    <t>STRUCTURE_PIECE_DTM (104)</t>
  </si>
  <si>
    <t>C</t>
  </si>
  <si>
    <t>GregTechAPI.sBlockCasings5</t>
  </si>
  <si>
    <t>D:\tmp\GT5\src\main\resources\assets\gregtech\textures\blocks\iconsets\MACHINE_COIL_CUPRONICKEL_BACKGROUND.png</t>
  </si>
  <si>
    <t>D:\tmp\GT5\src\main\resources\assets\gregtech\textures\blocks\iconsets\MACHINE_COIL_KANTHAL_BACKGROUND.png</t>
  </si>
  <si>
    <t>2</t>
  </si>
  <si>
    <t>D:\tmp\GT5\src\main\resources\assets\gregtech\textures\blocks\iconsets\MACHINE_COIL_NICHROME_BACKGROUND.png</t>
  </si>
  <si>
    <t>3</t>
  </si>
  <si>
    <t>D:\tmp\GT5\src\main\resources\assets\gregtech\textures\blocks\iconsets\MACHINE_COIL_TUNGSTENSTEEL_BACKGROUND.png</t>
  </si>
  <si>
    <t>4</t>
  </si>
  <si>
    <t>D:\tmp\GT5\src\main\resources\assets\gregtech\textures\blocks\iconsets\MACHINE_COIL_HSSG_BACKGROUND.png</t>
  </si>
  <si>
    <t>5</t>
  </si>
  <si>
    <t>D:\tmp\GT5\src\main\resources\assets\gregtech\textures\blocks\iconsets\MACHINE_COIL_NAQUADAH_BACKGROUND.png</t>
  </si>
  <si>
    <t>6</t>
  </si>
  <si>
    <t>D:\tmp\GT5\src\main\resources\assets\gregtech\textures\blocks\iconsets\MACHINE_COIL_NAQUADAHALLOY_BACKGROUND.png</t>
  </si>
  <si>
    <t>D:\tmp\GT5\src\main\resources\assets\gregtech\textures\blocks\iconsets\MACHINE_COIL_ELECTRUMFLUX_BACKGROUND.png</t>
  </si>
  <si>
    <t>8</t>
  </si>
  <si>
    <t>D:\tmp\GT5\src\main\resources\assets\gregtech\textures\blocks\iconsets\MACHINE_COIL_AWAKENEDDRACONIUM_BACKGROUND.png</t>
  </si>
  <si>
    <t>9</t>
  </si>
  <si>
    <t>D:\tmp\GT5\src\main\resources\assets\gregtech\textures\blocks\iconsets\MACHINE_COIL_HSSS_BACKGROUND.png</t>
  </si>
  <si>
    <t>D:\tmp\GT5\src\main\resources\assets\gregtech\textures\blocks\iconsets\MACHINE_COIL_TRINIUM_BACKGROUND.png</t>
  </si>
  <si>
    <t>11</t>
  </si>
  <si>
    <t>D:\tmp\GT5\src\main\resources\assets\gregtech\textures\blocks\iconsets\MACHINE_COIL_INFINITY_BACKGROUND.png</t>
  </si>
  <si>
    <t>12</t>
  </si>
  <si>
    <t>D:\tmp\GT5\src\main\resources\assets\gregtech\textures\blocks\iconsets\MACHINE_COIL_HYPOGEN_BACKGROUND.png</t>
  </si>
  <si>
    <t>13</t>
  </si>
  <si>
    <t>D:\tmp\GT5\src\main\resources\assets\gregtech\textures\blocks\iconsets\MACHINE_COIL_ETERNAL_BACKGROUND.png</t>
  </si>
  <si>
    <t>STRUCTURE_PIECE_MF (188)</t>
  </si>
  <si>
    <t>E</t>
  </si>
  <si>
    <t>D:\tmp\GT5\src\main\resources\assets\gregtech\textures\blocks\iconsets\MACHINE_CASING_MINING_NEUTRONIUM.png</t>
  </si>
  <si>
    <t>(shape nạp động/không đếm được)</t>
  </si>
  <si>
    <t>TST/src/main/java/com/Nxer/TwistSpaceTechnology/common/machine/TST_NetherInterface.java</t>
  </si>
  <si>
    <t>D:\tmp\GT5\src\main\resources\assets\gregtech\textures\blocks\iconsets\MACHINE_CASING_SOLID_STEEL.png</t>
  </si>
  <si>
    <t>texture_block_casing/02_NetherInterface</t>
  </si>
  <si>
    <t>B</t>
  </si>
  <si>
    <t>frame</t>
  </si>
  <si>
    <t>Materials.Obsidian</t>
  </si>
  <si>
    <t>D:\tmp\GT5\src\main\resources\assets\gregtech\textures\blocks\materialicons\NONE\frameGt.png</t>
  </si>
  <si>
    <t>MetaBlockCasing02</t>
  </si>
  <si>
    <t>D:\tmp\TST\src\main\resources\assets\gtnhcommunitymod\textures\blocks\MetaBlockCasing02\5.png</t>
  </si>
  <si>
    <t>D</t>
  </si>
  <si>
    <t>Blocks.obsidian</t>
  </si>
  <si>
    <t>C:/Users/mtien/.gradle/caches/forge_gradle/minecraft_repo/versions/1.20.1/client-extra.jar!/assets/minecraft/textures/block/obsidian.png</t>
  </si>
  <si>
    <t>DÙNG TRỰC TIẾP</t>
  </si>
  <si>
    <t>Block vanilla có sẵn trong môi trường GTCEu 1.20.1. Target: Blocks.OBSIDIAN</t>
  </si>
  <si>
    <t>STRUCTURE_PIECE_MAIN (21); STRUCTURE_PIECE_OLD (21)</t>
  </si>
  <si>
    <t>unresolved</t>
  </si>
  <si>
    <t>ofBlock( getMaterialBlock(MaterialsAlloy.HS188A, BasicBlock.BlockTypes.STANDARD) != null ? getMaterialBlock(MaterialsAlloy.HS188A, BasicBlock.BlockTypes.STANDARD) : Blocks.stone, 0)</t>
  </si>
  <si>
    <t>TST/src/main/java/com/Nxer/TwistSpaceTechnology/common/machine/TST_HyperThermalConvector.java</t>
  </si>
  <si>
    <t>D:\tmp\GT5\src\main\resources\assets\gregtech\textures\blocks\materialicons\NONE\block1.png</t>
  </si>
  <si>
    <t>texture_block_casing/03_HyperThermalConvector</t>
  </si>
  <si>
    <t>ofBlock( getMaterialBlock(MaterialsAlloy.QUANTUM, BasicBlock.BlockTypes.STANDARD) != null ? getMaterialBlock(MaterialsAlloy.QUANTUM, BasicBlock.BlockTypes.STANDARD) : Blocks.stone, 0)</t>
  </si>
  <si>
    <t>STRUCTURE_PIECE_MAIN (346); STRUCTURE_PIECE_OLD (346)</t>
  </si>
  <si>
    <t>GregTechAPI.sBlockCasings10</t>
  </si>
  <si>
    <t>D:\tmp\GT5\src\main\resources\assets\gregtech\textures\blocks\iconsets\EXTREME_DENSITY_CASING.png</t>
  </si>
  <si>
    <t>STRUCTURE_PIECE_MAIN (152); STRUCTURE_PIECE_OLD (152)</t>
  </si>
  <si>
    <t>STRUCTURE_PIECE_MAIN (157); STRUCTURE_PIECE_OLD (157)</t>
  </si>
  <si>
    <t>14</t>
  </si>
  <si>
    <t>D:\tmp\GT5\src\main\resources\assets\gregtech\textures\blocks\iconsets\MACHINE_CASING_MINING_OSMIRIDIUM.png</t>
  </si>
  <si>
    <t>STRUCTURE_PIECE_MAIN (30); STRUCTURE_PIECE_OLD (30)</t>
  </si>
  <si>
    <t>GregTechAPI.sBlockCasings6</t>
  </si>
  <si>
    <t>D:\tmp\GT5\src\main\resources\assets\gregtech\textures\blocks\iconsets\MACHINE_CASING_TANK_10.png</t>
  </si>
  <si>
    <t>STRUCTURE_PIECE_MAIN (382); STRUCTURE_PIECE_OLD (381)</t>
  </si>
  <si>
    <t>STRUCTURE_PIECE_MAIN (174); STRUCTURE_PIECE_OLD (174)</t>
  </si>
  <si>
    <t>D:\tmp\GT5\src\main\resources\assets\gregtech\textures\blocks\iconsets\MACHINE_CASING_RADIANT_NAQUADAH_ALLOY.png</t>
  </si>
  <si>
    <t>STRUCTURE_PIECE_MAIN (9); STRUCTURE_PIECE_OLD (9)</t>
  </si>
  <si>
    <t>GregTechAPI.sBlockCasings9</t>
  </si>
  <si>
    <t>D:\tmp\GT5\src\main\resources\assets\gregtech\textures\blocks\iconsets\MACHINE_CASING_VENT_T2.png</t>
  </si>
  <si>
    <t>STRUCTURE_PIECE_MAIN (10); STRUCTURE_PIECE_OLD (10)</t>
  </si>
  <si>
    <t>Materials.Iridium</t>
  </si>
  <si>
    <t>STRUCTURE_PIECE_MAIN (19); STRUCTURE_PIECE_OLD (19)</t>
  </si>
  <si>
    <t>K</t>
  </si>
  <si>
    <t>Materials.CosmicNeutronium</t>
  </si>
  <si>
    <t>D:\tmp\GT5\src\main\resources\assets\gregtech\textures\blocks\materialicons\CUSTOM\cosmicneutronium\frameGt.png</t>
  </si>
  <si>
    <t>STRUCTURE_PIECE_MAIN (84); STRUCTURE_PIECE_OLD (84)</t>
  </si>
  <si>
    <t>L</t>
  </si>
  <si>
    <t>Loaders.pressureResistantWalls</t>
  </si>
  <si>
    <t>D:\tmp\GT5\src\main\resources\assets\goodgenerator\textures\blocks\pressureResistantWalls.png</t>
  </si>
  <si>
    <t>STRUCTURE_PIECE_MAIN (393); STRUCTURE_PIECE_OLD (393)</t>
  </si>
  <si>
    <t>M</t>
  </si>
  <si>
    <t>GregTechAPI.sBlockCasingsDyson</t>
  </si>
  <si>
    <t>D:\tmp\GT5\src\main\resources\assets\gtnhintergalactic\textures\blocks\dysonSwarm\Floor.png
D:\tmp\GT5\src\main\resources\assets\gtnhintergalactic\textures\blocks\dysonSwarm\Floor_Side.png</t>
  </si>
  <si>
    <t>STRUCTURE_PIECE_MAIN (60); STRUCTURE_PIECE_OLD (61)</t>
  </si>
  <si>
    <t>N</t>
  </si>
  <si>
    <t>TstBlocks.MetaBlockCasing02</t>
  </si>
  <si>
    <t>D:\tmp\TST\src\main\resources\assets\gtnhcommunitymod\textures\blocks\MetaBlockCasing02\2.png</t>
  </si>
  <si>
    <t>STRUCTURE_PIECE_MAIN (63); STRUCTURE_PIECE_OLD (63)</t>
  </si>
  <si>
    <t>O</t>
  </si>
  <si>
    <t>D:\tmp\TST\src\main\resources\assets\gtnhcommunitymod\textures\blocks\MetaBlockCasing02\3.png</t>
  </si>
  <si>
    <t>STRUCTURE_PIECE_MAIN (240); STRUCTURE_PIECE_OLD (240)</t>
  </si>
  <si>
    <t>P</t>
  </si>
  <si>
    <t>D:\tmp\TST\src\main\resources\assets\gtnhcommunitymod\textures\blocks\MetaBlockCasing02\4.png</t>
  </si>
  <si>
    <t>STRUCTURE_PIECE_MAIN (48); STRUCTURE_PIECE_OLD (48)</t>
  </si>
  <si>
    <t>Q</t>
  </si>
  <si>
    <t>D:\tmp\GT5\src\main\resources\assets\gregtech\textures\blocks\iconsets\MACHINE_CASING_CONTAINMENT_FIELD.png</t>
  </si>
  <si>
    <t>STRUCTURE_PIECE_MAIN (1); STRUCTURE_PIECE_OLD (1)</t>
  </si>
  <si>
    <t>R</t>
  </si>
  <si>
    <t>T</t>
  </si>
  <si>
    <t>U</t>
  </si>
  <si>
    <t>STRUCTURE_PIECE_MAIN (1252); STRUCTURE_PIECE_MAIN1 (1252)</t>
  </si>
  <si>
    <t>TST/src/main/java/com/Nxer/TwistSpaceTechnology/common/machine/TST_MegaTreeFarm.java</t>
  </si>
  <si>
    <t>texture_block_casing/04_MegaTreeFarm</t>
  </si>
  <si>
    <t>STRUCTURE_PIECE_MAIN (497); STRUCTURE_PIECE_MAIN1 (497)</t>
  </si>
  <si>
    <t>MetaBlockCasing01</t>
  </si>
  <si>
    <t>D:\tmp\TST\src\main\resources\assets\gtnhcommunitymod\textures\blocks\MetaBlockCasing01\9.png</t>
  </si>
  <si>
    <t>STRUCTURE_PIECE_MAIN (436); STRUCTURE_PIECE_MAIN1 (436)</t>
  </si>
  <si>
    <t>D:\tmp\TST\src\main\resources\assets\gtnhcommunitymod\textures\blocks\MetaBlockCasing01\10.png</t>
  </si>
  <si>
    <t>STRUCTURE_PIECE_MAIN (1150)</t>
  </si>
  <si>
    <t>GregTechAPI.sBlockCasings1</t>
  </si>
  <si>
    <t>D:\tmp\GT5\src\main\resources\assets\gregtech\textures\blocks\iconsets\MACHINE_BRONZEPLATEDBRICKS.png</t>
  </si>
  <si>
    <t>STRUCTURE_PIECE_MAIN1 (1150)</t>
  </si>
  <si>
    <t>d</t>
  </si>
  <si>
    <t>STRUCTURE_PIECE_MAIN (176); STRUCTURE_PIECE_MAIN1 (176)</t>
  </si>
  <si>
    <t>D:\tmp\GT5\src\main\resources\assets\gregtech\textures\blocks\iconsets\MACHINE_CASING_ADVANCEDRADIATIONPROOF.png</t>
  </si>
  <si>
    <t>STRUCTURE_PIECE_MAIN (52); STRUCTURE_PIECE_MAIN1 (52)</t>
  </si>
  <si>
    <t>STRUCTURE_PIECE_MAIN (325); STRUCTURE_PIECE_MAIN1 (325)</t>
  </si>
  <si>
    <t>STRUCTURE_PIECE_MAIN (759)</t>
  </si>
  <si>
    <t>ModBlocks.blockCasings2Misc</t>
  </si>
  <si>
    <t>15</t>
  </si>
  <si>
    <t>D:\tmp\GT5\src\main\resources\assets\miscutils\textures\blocks\TileEntities\sterileCasing.png</t>
  </si>
  <si>
    <t>STRUCTURE_PIECE_MAIN1 (759)</t>
  </si>
  <si>
    <t>h</t>
  </si>
  <si>
    <t>D:\tmp\TST\src\main\resources\assets\gtnhcommunitymod\textures\blocks\MetaBlockCasing01\13.png</t>
  </si>
  <si>
    <t>STRUCTURE_PIECE_MAIN (236); STRUCTURE_PIECE_MAIN1 (236)</t>
  </si>
  <si>
    <t>ModBlocks.blockCasingsTieredGTPP</t>
  </si>
  <si>
    <t>D:\tmp\GT5\src\main\resources\assets\gregtech\textures\blocks\iconsets\INTEGRAL_FRAMEWORK_UV.png</t>
  </si>
  <si>
    <t>STRUCTURE_PIECE_MAIN (72); STRUCTURE_PIECE_MAIN1 (72)</t>
  </si>
  <si>
    <t>ModBlocksHandler.BlockTranslucent.getLeft()</t>
  </si>
  <si>
    <t>ModBlocksHandler.BlockTranslucent.getRight()</t>
  </si>
  <si>
    <t>C:\Users\mtien\.codex\generated_images\01a01eb0-3916-7be3-b9fe-3156e0042d24\exec-14e594ac-220c-4ff4-9c46-3c5e7dfdc552.png</t>
  </si>
  <si>
    <t>THIẾT KẾ MỚI</t>
  </si>
  <si>
    <t>Casing kính ma thuật công nghiệp; thiết kế mới theo chủ đề Mega Tree Farm. Target: TSTBlocks.ARCANE_TRANSLUCENT_CASING</t>
  </si>
  <si>
    <t>STRUCTURE_PIECE_MAIN (108); STRUCTURE_PIECE_MAIN1 (108)</t>
  </si>
  <si>
    <t>ModBlocksHandler.AirCrystalBlock.getLeft()</t>
  </si>
  <si>
    <t>ModBlocksHandler.AirCrystalBlock.getRight()</t>
  </si>
  <si>
    <t>C:\Users\mtien\.codex\generated_images\01a01eb0-3916-7be3-b9fe-3156e0042d24\exec-1363b52c-9ce2-40cc-9372-7f9daa2ac2b1.png</t>
  </si>
  <si>
    <t>Tinh thể khí trong khung casing GTCEu; thiết kế mới cho Mega Tree Farm. Target: TSTBlocks.AIR_CRYSTAL_CASING</t>
  </si>
  <si>
    <t>STRUCTURE_PIECE_MAIN (30); STRUCTURE_PIECE_MAIN1 (30)</t>
  </si>
  <si>
    <t>ModBlocksHandler.WaterCrystalBlock.getLeft()</t>
  </si>
  <si>
    <t>ModBlocksHandler.WaterCrystalBlock.getRight()</t>
  </si>
  <si>
    <t>C:\Users\mtien\.codex\generated_images\01a01eb0-3916-7be3-b9fe-3156e0042d24\exec-d6d6f281-6688-4ca1-a467-f6d3f8fb387a.png</t>
  </si>
  <si>
    <t>Tinh thể nước và kênh thủy canh; thiết kế mới cho Mega Tree Farm. Target: TSTBlocks.WATER_CRYSTAL_CASING</t>
  </si>
  <si>
    <t>STRUCTURE_PIECE_MAIN (270); STRUCTURE_PIECE_MAIN1 (270)</t>
  </si>
  <si>
    <t>ModBlocksHandler.EarthCrystalBlock.getLeft()</t>
  </si>
  <si>
    <t>ModBlocksHandler.EarthCrystalBlock.getRight()</t>
  </si>
  <si>
    <t>C:\Users\mtien\.codex\generated_images\01a01eb0-3916-7be3-b9fe-3156e0042d24\exec-9d52dadc-2591-4644-b8bd-6c35f1678fac.png</t>
  </si>
  <si>
    <t>Tinh thể đất và mạch rễ; thiết kế mới cho Mega Tree Farm. Target: TSTBlocks.EARTH_CRYSTAL_CASING</t>
  </si>
  <si>
    <t>STRUCTURE_PIECE_MAIN (880); STRUCTURE_PIECE_MAIN1 (880)</t>
  </si>
  <si>
    <t>ModBlocksHandler.soil.getLeft()</t>
  </si>
  <si>
    <t>ModBlocksHandler.soil.getRight()</t>
  </si>
  <si>
    <t>C:\Users\mtien\.codex\generated_images\01a01eb0-3916-7be3-b9fe-3156e0042d24\exec-182ffa3f-3907-41e5-a3f5-6d153cc22bd0.png</t>
  </si>
  <si>
    <t>Giá thể trồng cây có tưới và khung gia cường; thay Forestry soil. Target: TSTBlocks.CULTIVATION_SOIL_CASING</t>
  </si>
  <si>
    <t>STRUCTURE_PIECE_MAIN (45); STRUCTURE_PIECE_MAIN1 (45)</t>
  </si>
  <si>
    <t>ModBlocksHandler.PurpleLight.getLeft()</t>
  </si>
  <si>
    <t>ModBlocksHandler.PurpleLight.getRight()</t>
  </si>
  <si>
    <t>D:\tmp\GTCEu\src\main\resources\assets\gtceu\textures\block\lamps\purple_on.png</t>
  </si>
  <si>
    <t>GTCEu TƯƠNG ĐƯƠNG</t>
  </si>
  <si>
    <t>GTCEu có Purple Lamp đúng màu và chức năng phát sáng. Target: GTBlocks.LAMPS.get(DyeColor.PURPLE)</t>
  </si>
  <si>
    <t>STRUCTURE_PIECE_WATER (1)</t>
  </si>
  <si>
    <t>BlocksItems.getFluidBlock(InternalName.fluidDistilledWater)</t>
  </si>
  <si>
    <t>C:/Users/mtien/.gradle/caches/forge_gradle/minecraft_repo/versions/1.20.1/client-extra.jar!/assets/minecraft/textures/block/water_still.png</t>
  </si>
  <si>
    <t>GTCEu có DistilledWater; renderer dùng texture nước cơ sở với tint của fluid. Target: GTMaterials.DistilledWater (fluid block/state)</t>
  </si>
  <si>
    <t>STRUCTURE_PIECE_MAIN (122)</t>
  </si>
  <si>
    <t>STRUCTURE_PIECE_MAIN1 (122)</t>
  </si>
  <si>
    <t>q</t>
  </si>
  <si>
    <t>STRUCTURE_PIECE_MAIN (124)</t>
  </si>
  <si>
    <t>STRUCTURE_PIECE_MAIN1 (124)</t>
  </si>
  <si>
    <t>r</t>
  </si>
  <si>
    <t>STRUCTURE_PIECE_MAIN (289)</t>
  </si>
  <si>
    <t>Materials.Mytryl</t>
  </si>
  <si>
    <t>STRUCTURE_PIECE_MAIN1 (289)</t>
  </si>
  <si>
    <t>s</t>
  </si>
  <si>
    <t>Materials.AstralSilver</t>
  </si>
  <si>
    <t>BorosilicateGlass</t>
  </si>
  <si>
    <t>TST/src/main/java/com/Nxer/TwistSpaceTechnology/system/Disassembler/TST_Disassembler.java</t>
  </si>
  <si>
    <t>texture_block_casing/05_Disassembler</t>
  </si>
  <si>
    <t>Loaders.componentAssemblylineCasing</t>
  </si>
  <si>
    <t>D:\tmp\GT5\src\main\resources\assets\goodgenerator\textures\blocks\compAsslineCasing\0.png</t>
  </si>
  <si>
    <t>D:\tmp\GT5\src\main\resources\assets\goodgenerator\textures\blocks\compAsslineCasing\1.png</t>
  </si>
  <si>
    <t>D:\tmp\GT5\src\main\resources\assets\goodgenerator\textures\blocks\compAsslineCasing\2.png</t>
  </si>
  <si>
    <t>D:\tmp\GT5\src\main\resources\assets\goodgenerator\textures\blocks\compAsslineCasing\3.png</t>
  </si>
  <si>
    <t>D:\tmp\GT5\src\main\resources\assets\goodgenerator\textures\blocks\compAsslineCasing\4.png</t>
  </si>
  <si>
    <t>D:\tmp\GT5\src\main\resources\assets\goodgenerator\textures\blocks\compAsslineCasing\5.png</t>
  </si>
  <si>
    <t>D:\tmp\GT5\src\main\resources\assets\goodgenerator\textures\blocks\compAsslineCasing\6.png</t>
  </si>
  <si>
    <t>D:\tmp\GT5\src\main\resources\assets\goodgenerator\textures\blocks\compAsslineCasing\7.png</t>
  </si>
  <si>
    <t>D:\tmp\GT5\src\main\resources\assets\goodgenerator\textures\blocks\compAsslineCasing\8.png</t>
  </si>
  <si>
    <t>D:\tmp\GT5\src\main\resources\assets\goodgenerator\textures\blocks\compAsslineCasing\9.png</t>
  </si>
  <si>
    <t>D:\tmp\GT5\src\main\resources\assets\goodgenerator\textures\blocks\compAsslineCasing\10.png</t>
  </si>
  <si>
    <t>D:\tmp\GT5\src\main\resources\assets\goodgenerator\textures\blocks\compAsslineCasing\11.png</t>
  </si>
  <si>
    <t>D:\tmp\GT5\src\main\resources\assets\goodgenerator\textures\blocks\compAsslineCasing\12.png</t>
  </si>
  <si>
    <t>D:\tmp\GT5\src\main\resources\assets\goodgenerator\textures\blocks\compAsslineCasing\13.png</t>
  </si>
  <si>
    <t>D:\tmp\GT5\src\main\resources\assets\gregtech\textures\blocks\iconsets\MACHINE_CASING_GEARBOX_TUNGSTENSTEEL.png</t>
  </si>
  <si>
    <t>D:\tmp\GT5\src\main\resources\assets\gregtech\textures\blocks\iconsets\MACHINE_CASING_ASSEMBLER.png</t>
  </si>
  <si>
    <t>sBlockCasingsTT</t>
  </si>
  <si>
    <t>D:\tmp\GT5\src\main\resources\assets\gregtech\textures\blocks\iconsets\EM_CASING.png</t>
  </si>
  <si>
    <t>D:\tmp\GT5\src\main\resources\assets\gregtech\textures\blocks\iconsets\EM_HOLLOW.png</t>
  </si>
  <si>
    <t>STRUCTURE_PIECE_MAIN (31)</t>
  </si>
  <si>
    <t>TST/src/main/java/com/Nxer/TwistSpaceTechnology/common/machine/TST_IncompactCyclotron.java</t>
  </si>
  <si>
    <t>texture_block_casing/06_IncompactCyclotron</t>
  </si>
  <si>
    <t>STRUCTURE_PIECE_MAIN (128)</t>
  </si>
  <si>
    <t>Objects.requireNonNull(Block.getBlockFromName("miscutils:blockFrameGtQuantum"))</t>
  </si>
  <si>
    <t>STRUCTURE_PIECE_MAIN (560)</t>
  </si>
  <si>
    <t>D:\tmp\TST\src\main\resources\assets\gtnhcommunitymod\textures\blocks\MetaBlockCasing01\12.png</t>
  </si>
  <si>
    <t>STRUCTURE_PIECE_MAIN (1664)</t>
  </si>
  <si>
    <t>D:\tmp\TST\src\main\resources\assets\gtnhcommunitymod\textures\blocks\MetaBlockCasing01\11.png</t>
  </si>
  <si>
    <t>STRUCTURE_PIECE_MAIN (64)</t>
  </si>
  <si>
    <t>STRUCTURE_PIECE_MAIN (32)</t>
  </si>
  <si>
    <t>TstBlocks.MetaBlockCasing01</t>
  </si>
  <si>
    <t>STRUCTURE_PIECE_MAIN (15)</t>
  </si>
  <si>
    <t>GregTechAPI.sBlockCasings11</t>
  </si>
  <si>
    <t>TST/src/main/java/com/Nxer/TwistSpaceTechnology/common/machine/TST_MegaStoneBreaker.java</t>
  </si>
  <si>
    <t>D:\tmp\GT5\src\main\resources\assets\gregtech\textures\blocks\iconsets\MACHINE_CASING_ITEM_PIPE_BLACK_PLUTONIUM.png</t>
  </si>
  <si>
    <t>texture_block_casing/07_MegaStoneBreaker</t>
  </si>
  <si>
    <t>STRUCTURE_PIECE_MAIN (172)</t>
  </si>
  <si>
    <t>D:\tmp\GT5\src\main\resources\assets\gregtech\textures\blocks\iconsets\MACHINE_CASING_PIPE_TUNGSTENSTEEL.png</t>
  </si>
  <si>
    <t>STRUCTURE_PIECE_MAIN (25)</t>
  </si>
  <si>
    <t>STRUCTURE_PIECE_MAIN (24)</t>
  </si>
  <si>
    <t>STRUCTURE_PIECE_MAIN (129)</t>
  </si>
  <si>
    <t>STRUCTURE_PIECE_MAIN (96)</t>
  </si>
  <si>
    <t>D:\tmp\GT5\src\main\resources\assets\miscutils\textures\blocks\TileEntities\MACHINE_CASING_STABLE_RED_STEEL.png</t>
  </si>
  <si>
    <t>STRUCTURE_PIECE_MAIN (396)</t>
  </si>
  <si>
    <t>D:\tmp\GT5\src\main\resources\assets\miscutils\textures\blocks\TileEntities\MACHINE_CASING_STABLE_TANTALLOY61.png</t>
  </si>
  <si>
    <t>STRUCTURE_PIECE_MAIN (54)</t>
  </si>
  <si>
    <t>ModBlocks.blockCasingsMisc</t>
  </si>
  <si>
    <t>D:\tmp\GT5\src\main\resources\assets\miscutils\textures\blocks\TileEntities\MACHINE_CASING_FIREBOX_STABALLOY.png</t>
  </si>
  <si>
    <t>STRUCTURE_PIECE_MAIN (258)</t>
  </si>
  <si>
    <t>STRUCTURE_PIECE_MAIN (4)</t>
  </si>
  <si>
    <t>STRUCTURE_PIECE_MAIN (1)</t>
  </si>
  <si>
    <t>W</t>
  </si>
  <si>
    <t>TST/src/main/java/com/Nxer/TwistSpaceTechnology/common/modularizedMachine/MM_LargeNeutronOscillator.java</t>
  </si>
  <si>
    <t>texture_block_casing/08_LargeNeutronOscillator</t>
  </si>
  <si>
    <t>D:\tmp\GT5\src\main\resources\assets\gregtech\textures\blocks\iconsets\EM_POWER.png</t>
  </si>
  <si>
    <t>Loaders.speedingPipe</t>
  </si>
  <si>
    <t>D:\tmp\GT5\src\main\resources\assets\goodgenerator\textures\blocks\speedingPipe_SIDE.png
D:\tmp\GT5\src\main\resources\assets\goodgenerator\textures\blocks\speedingPipe_TOP.png</t>
  </si>
  <si>
    <t>Materials.NaquadahAlloy</t>
  </si>
  <si>
    <t>STRUCTURE_PIECE_MAIN (4163)</t>
  </si>
  <si>
    <t>TST/src/main/java/com/Nxer/TwistSpaceTechnology/common/machine/GeneratorMultis/TST_MegaNqReactor.java</t>
  </si>
  <si>
    <t>D:\tmp\GT5\src\main\resources\assets\gregtech\textures\blocks\iconsets\MACHINE_CASING_MINING_BLACKPLUTONIUM.png</t>
  </si>
  <si>
    <t>texture_block_casing/09_MegaNqReactor</t>
  </si>
  <si>
    <t>STRUCTURE_PIECE_MAIN (602)</t>
  </si>
  <si>
    <t>STRUCTURE_PIECE_MAIN (294)</t>
  </si>
  <si>
    <t>Loaders.MAR_Casing</t>
  </si>
  <si>
    <t>D:\tmp\GT5\src\main\resources\assets\goodgenerator\textures\blocks\MAR_Casing.png</t>
  </si>
  <si>
    <t>STRUCTURE_PIECE_MAIN (11)</t>
  </si>
  <si>
    <t>D:\tmp\GT5\src\main\resources\assets\gregtech\textures\blocks\iconsets\MACHINE_DIM_BRIDGE.png</t>
  </si>
  <si>
    <t>STRUCTURE_PIECE_MAIN (148)</t>
  </si>
  <si>
    <t>D:\tmp\GT5\src\main\resources\assets\gregtech\textures\blocks\iconsets\BLOCK_QUARK_PIPE.png</t>
  </si>
  <si>
    <t>STRUCTURE_PIECE_MAIN (988)</t>
  </si>
  <si>
    <t>STRUCTURE_PIECE_MAIN (354)</t>
  </si>
  <si>
    <t>TST/src/main/java/com/Nxer/TwistSpaceTechnology/system/DysonSphereProgram/machines/TST_DSPLauncher.java</t>
  </si>
  <si>
    <t>texture_block_casing/10_DSPLauncher</t>
  </si>
  <si>
    <t>STRUCTURE_PIECE_MAIN (1989)</t>
  </si>
  <si>
    <t>GregTechAPI.sBlockCasingsSE</t>
  </si>
  <si>
    <t>D:\tmp\GT5\src\main\resources\assets\gtnhintergalactic\textures\blocks\spaceElevator\BaseCasing.png</t>
  </si>
  <si>
    <t>STRUCTURE_PIECE_MAIN (6364)</t>
  </si>
  <si>
    <t>D:\tmp\GT5\src\main\resources\assets\gtnhintergalactic\textures\blocks\spaceElevator\SupportStructure.png
D:\tmp\GT5\src\main\resources\assets\gtnhintergalactic\textures\blocks\spaceElevator\SupportStructure_Side.png</t>
  </si>
  <si>
    <t>STRUCTURE_PIECE_MAIN (788)</t>
  </si>
  <si>
    <t>D:\tmp\GT5\src\main\resources\assets\gtnhintergalactic\textures\blocks\spaceElevator\InternalStructure.png
D:\tmp\GT5\src\main\resources\assets\gtnhintergalactic\textures\blocks\spaceElevator\InternalStructure_Side.png</t>
  </si>
  <si>
    <t>STRUCTURE_PIECE_MAIN (426)</t>
  </si>
  <si>
    <t>GregTechAPI.sBlockCasingsSEMotor</t>
  </si>
  <si>
    <t>D:\tmp\GT5\src\main\resources\assets\gtnhintergalactic\textures\blocks\spaceElevator\Motor.png
D:\tmp\GT5\src\main\resources\assets\gtnhintergalactic\textures\blocks\spaceElevator\MotorT1_Side.png</t>
  </si>
  <si>
    <t>D:\tmp\GT5\src\main\resources\assets\gtnhintergalactic\textures\blocks\spaceElevator\Motor.png
D:\tmp\GT5\src\main\resources\assets\gtnhintergalactic\textures\blocks\spaceElevator\MotorT2_Side.png</t>
  </si>
  <si>
    <t>D:\tmp\GT5\src\main\resources\assets\gtnhintergalactic\textures\blocks\spaceElevator\Motor.png
D:\tmp\GT5\src\main\resources\assets\gtnhintergalactic\textures\blocks\spaceElevator\MotorT3_Side.png</t>
  </si>
  <si>
    <t>D:\tmp\GT5\src\main\resources\assets\gtnhintergalactic\textures\blocks\spaceElevator\Motor.png
D:\tmp\GT5\src\main\resources\assets\gtnhintergalactic\textures\blocks\spaceElevator\MotorT4_Side.png</t>
  </si>
  <si>
    <t>D:\tmp\GT5\src\main\resources\assets\gtnhintergalactic\textures\blocks\spaceElevator\Motor.png
D:\tmp\GT5\src\main\resources\assets\gtnhintergalactic\textures\blocks\spaceElevator\MotorT5_Side.png</t>
  </si>
  <si>
    <t>STRUCTURE_PIECE_MAIN (7347)</t>
  </si>
  <si>
    <t>STRUCTURE_PIECE_MAIN (23)</t>
  </si>
  <si>
    <t>STRUCTURE_PIECE_MAIN (2)</t>
  </si>
  <si>
    <t>STRUCTURE_PIECE_MAIN (240)</t>
  </si>
  <si>
    <t>TST/src/main/java/com/Nxer/TwistSpaceTechnology/system/DysonSphereProgram/machines/TST_DSPReceiver.java</t>
  </si>
  <si>
    <t>texture_block_casing/11_DSPReceiver</t>
  </si>
  <si>
    <t>STRUCTURE_PIECE_MAIN (959)</t>
  </si>
  <si>
    <t>STRUCTURE_PIECE_MAIN (317)</t>
  </si>
  <si>
    <t>STRUCTURE_PIECE_MAIN (291)</t>
  </si>
  <si>
    <t>STRUCTURE_PIECE_MAIN (1441)</t>
  </si>
  <si>
    <t>STRUCTURE_PIECE_MAIN (220)</t>
  </si>
  <si>
    <t>STRUCTURE_PIECE_MAIN (13)</t>
  </si>
  <si>
    <t>D:\tmp\GT5\src\main\resources\assets\gregtech\textures\blocks\iconsets\EM_FIELD.png</t>
  </si>
  <si>
    <t>STRUCTURE_PIECE_MAIN (309)</t>
  </si>
  <si>
    <t>D:\tmp\GT5\src\main\resources\assets\gregtech\textures\blocks\iconsets\EM_COIL_NONSIDE.png
D:\tmp\GT5\src\main\resources\assets\gregtech\textures\blocks\iconsets\EM_COIL.png</t>
  </si>
  <si>
    <t>D:\tmp\GT5\src\main\resources\assets\gregtech\textures\blocks\iconsets\EM_TIMESPACE.png</t>
  </si>
  <si>
    <t>D:\tmp\GT5\src\main\resources\assets\gregtech\textures\blocks\iconsets\MACHINE_CASING_QFT_COIL.png</t>
  </si>
  <si>
    <t>STRUCTURE_PIECE_MAIN (1785)</t>
  </si>
  <si>
    <t>D:\tmp\GT5\src\main\resources\assets\gtnhintergalactic\textures\blocks\dysonSwarm\ReceiverDish.png
D:\tmp\GT5\src\main\resources\assets\gtnhintergalactic\textures\blocks\dysonSwarm\ReceiverDish_Side.png</t>
  </si>
  <si>
    <t>STRUCTURE_PIECE_MAIN (2115)</t>
  </si>
  <si>
    <t>STRUCTURE_PIECE_MAIN (392)</t>
  </si>
  <si>
    <t>BlockQuantumGlass.INSTANCE</t>
  </si>
  <si>
    <t>D:\tmp\GT5\src\main\resources\assets\tectech\textures\blocks\blockQuantumGlass.png</t>
  </si>
  <si>
    <t>STRUCTURE_PIECE_MAIN (8)</t>
  </si>
  <si>
    <t>STRUCTURE_PIECE_MAIN (324)</t>
  </si>
  <si>
    <t>TST/src/main/java/com/Nxer/TwistSpaceTechnology/common/machine/TST_MicroSpaceTimeFabricatorio.java</t>
  </si>
  <si>
    <t>D:\tmp\GT5\src\main\resources\assets\gregtech\textures\blocks\iconsets\MACHINE_DIM_TRANS_CASING.png</t>
  </si>
  <si>
    <t>texture_block_casing/12_MicroSpaceTimeFabricatorio</t>
  </si>
  <si>
    <t>TTCasingsContainer.sBlockCasingsBA0</t>
  </si>
  <si>
    <t>D:\tmp\GT5\src\main\resources\assets\gregtech\textures\blocks\iconsets\EM_OUTER_SPACETIME_REINFORCED_EOH_CASING.png</t>
  </si>
  <si>
    <t>D:\tmp\GT5\src\main\resources\assets\gregtech\textures\blocks\iconsets\MACHINE_DIM_INJECTOR.png</t>
  </si>
  <si>
    <t>D:\tmp\GT5\src\main\resources\assets\gregtech\textures\blocks\iconsets\EM_POWER_INFINITE.png</t>
  </si>
  <si>
    <t>TTCasingsContainer.sBlockCasingsTT</t>
  </si>
  <si>
    <t>D:\tmp\GT5\src\main\resources\assets\gregtech\textures\blocks\iconsets\EM_TELE.png</t>
  </si>
  <si>
    <t>D:\tmp\GT5\src\main\resources\assets\gregtech\textures\blocks\iconsets\EM_ULTIMATE_FIELD.png</t>
  </si>
  <si>
    <t>TTCasingsContainer.StabilisationFieldGenerators</t>
  </si>
  <si>
    <t>D:\tmp\GT5\src\main\resources\assets\gregtech\textures\blocks\iconsets\STABILITY_CASING_0.png</t>
  </si>
  <si>
    <t>D:\tmp\GT5\src\main\resources\assets\gregtech\textures\blocks\iconsets\STABILITY_CASING_1.png</t>
  </si>
  <si>
    <t>D:\tmp\GT5\src\main\resources\assets\gregtech\textures\blocks\iconsets\STABILITY_CASING_2.png</t>
  </si>
  <si>
    <t>D:\tmp\GT5\src\main\resources\assets\gregtech\textures\blocks\iconsets\STABILITY_CASING_3.png</t>
  </si>
  <si>
    <t>D:\tmp\GT5\src\main\resources\assets\gregtech\textures\blocks\iconsets\STABILITY_CASING_4.png</t>
  </si>
  <si>
    <t>D:\tmp\GT5\src\main\resources\assets\gregtech\textures\blocks\iconsets\STABILITY_CASING_5.png</t>
  </si>
  <si>
    <t>D:\tmp\GT5\src\main\resources\assets\gregtech\textures\blocks\iconsets\STABILITY_CASING_6.png</t>
  </si>
  <si>
    <t>D:\tmp\GT5\src\main\resources\assets\gregtech\textures\blocks\iconsets\STABILITY_CASING_7.png</t>
  </si>
  <si>
    <t>D:\tmp\GT5\src\main\resources\assets\gregtech\textures\blocks\iconsets\STABILITY_CASING_8.png</t>
  </si>
  <si>
    <t>STRUCTURE_PIECE_MAIN (103); STRUCTURE_PIECE_MIDDLE (80); STRUCTURE_PIECE_END (112)</t>
  </si>
  <si>
    <t>TST/src/main/java/com/Nxer/TwistSpaceTechnology/common/machine/GT_TileEntity_MiracleTop.java</t>
  </si>
  <si>
    <t>texture_block_casing/13_MiracleTop</t>
  </si>
  <si>
    <t>STRUCTURE_PIECE_MAIN (8); STRUCTURE_PIECE_END (8)</t>
  </si>
  <si>
    <t>STRUCTURE_PIECE_MAIN (7); STRUCTURE_PIECE_MIDDLE (8); STRUCTURE_PIECE_END (2)</t>
  </si>
  <si>
    <t>STRUCTURE_PIECE_MAIN (28); STRUCTURE_PIECE_MIDDLE (28); STRUCTURE_PIECE_END (28)</t>
  </si>
  <si>
    <t>STRUCTURE_PIECE_MAIN (80); STRUCTURE_PIECE_MIDDLE (92); STRUCTURE_PIECE_END (40)</t>
  </si>
  <si>
    <t>STRUCTURE_PIECE_MAIN (21); STRUCTURE_PIECE_MIDDLE (12); STRUCTURE_PIECE_END (21)</t>
  </si>
  <si>
    <t>STRUCTURE_PIECE_MAIN (36)</t>
  </si>
  <si>
    <t>TST/src/main/java/com/Nxer/TwistSpaceTechnology/system/DysonSphereProgram/machines/TST_ArtificialStar.java</t>
  </si>
  <si>
    <t>texture_block_casing/14_ArtificialStar</t>
  </si>
  <si>
    <t>TTCasingsContainer.SpacetimeCompressionFieldGenerators</t>
  </si>
  <si>
    <t>D:\tmp\GT5\src\main\resources\assets\gregtech\textures\blocks\iconsets\EM_DIM_0.png</t>
  </si>
  <si>
    <t>D:\tmp\GT5\src\main\resources\assets\gregtech\textures\blocks\iconsets\EM_DIM_1.png</t>
  </si>
  <si>
    <t>D:\tmp\GT5\src\main\resources\assets\gregtech\textures\blocks\iconsets\EM_DIM_2.png</t>
  </si>
  <si>
    <t>D:\tmp\GT5\src\main\resources\assets\gregtech\textures\blocks\iconsets\EM_DIM_3.png</t>
  </si>
  <si>
    <t>D:\tmp\GT5\src\main\resources\assets\gregtech\textures\blocks\iconsets\EM_DIM_4.png</t>
  </si>
  <si>
    <t>D:\tmp\GT5\src\main\resources\assets\gregtech\textures\blocks\iconsets\EM_DIM_5.png</t>
  </si>
  <si>
    <t>D:\tmp\GT5\src\main\resources\assets\gregtech\textures\blocks\iconsets\EM_DIM_6.png</t>
  </si>
  <si>
    <t>D:\tmp\GT5\src\main\resources\assets\gregtech\textures\blocks\iconsets\EM_DIM_7.png</t>
  </si>
  <si>
    <t>D:\tmp\GT5\src\main\resources\assets\gregtech\textures\blocks\iconsets\EM_DIM_8.png</t>
  </si>
  <si>
    <t>STRUCTURE_PIECE_MAIN (56)</t>
  </si>
  <si>
    <t>STRUCTURE_PIECE_MAIN (33)</t>
  </si>
  <si>
    <t>TTCasingsContainer.TimeAccelerationFieldGenerator</t>
  </si>
  <si>
    <t>D:\tmp\GT5\src\main\resources\assets\gregtech\textures\blocks\iconsets\EM_FIELD_0.png</t>
  </si>
  <si>
    <t>D:\tmp\GT5\src\main\resources\assets\gregtech\textures\blocks\iconsets\EM_FIELD_1.png</t>
  </si>
  <si>
    <t>D:\tmp\GT5\src\main\resources\assets\gregtech\textures\blocks\iconsets\EM_FIELD_2.png</t>
  </si>
  <si>
    <t>D:\tmp\GT5\src\main\resources\assets\gregtech\textures\blocks\iconsets\EM_FIELD_3.png</t>
  </si>
  <si>
    <t>D:\tmp\GT5\src\main\resources\assets\gregtech\textures\blocks\iconsets\EM_FIELD_4.png</t>
  </si>
  <si>
    <t>D:\tmp\GT5\src\main\resources\assets\gregtech\textures\blocks\iconsets\EM_FIELD_5.png</t>
  </si>
  <si>
    <t>D:\tmp\GT5\src\main\resources\assets\gregtech\textures\blocks\iconsets\EM_FIELD_6.png</t>
  </si>
  <si>
    <t>D:\tmp\GT5\src\main\resources\assets\gregtech\textures\blocks\iconsets\EM_FIELD_7.png</t>
  </si>
  <si>
    <t>D:\tmp\GT5\src\main\resources\assets\gregtech\textures\blocks\iconsets\EM_FIELD_8.png</t>
  </si>
  <si>
    <t>STRUCTURE_PIECE_MAIN (28)</t>
  </si>
  <si>
    <t>StabilisationFieldGenerators</t>
  </si>
  <si>
    <t>STRUCTURE_PIECE_MAIN (841)</t>
  </si>
  <si>
    <t>D:\tmp\GT5\src\main\resources\assets\gregtech\textures\blocks\iconsets\EM_ULTIMATE_CASING.png</t>
  </si>
  <si>
    <t>STRUCTURE_PIECE_MAIN (1168)</t>
  </si>
  <si>
    <t>D:\tmp\GT5\src\main\resources\assets\gregtech\textures\blocks\iconsets\EM_ULTIMATE_FIELD_CASING.png</t>
  </si>
  <si>
    <t>STRUCTURE_PIECE_MAIN (2887)</t>
  </si>
  <si>
    <t>STRUCTURE_PIECE_MAIN (120)</t>
  </si>
  <si>
    <t>STRUCTURE_PIECE_BOTTOM (80); STRUCTURE_PIECE_MIDDLE (730)</t>
  </si>
  <si>
    <t>TST/src/main/java/com/Nxer/TwistSpaceTechnology/common/machine/TST_DeployedNanoCore.java</t>
  </si>
  <si>
    <t>texture_block_casing/15_DeployedNanoCore</t>
  </si>
  <si>
    <t>STRUCTURE_PIECE_BOTTOM (1636)</t>
  </si>
  <si>
    <t>STRUCTURE_PIECE_BOTTOM (5131); STRUCTURE_PIECE_MIDDLE (288)</t>
  </si>
  <si>
    <t>STRUCTURE_PIECE_BOTTOM (128); STRUCTURE_PIECE_MIDDLE (21)</t>
  </si>
  <si>
    <t>STRUCTURE_PIECE_MIDDLE (372)</t>
  </si>
  <si>
    <t>STRUCTURE_PIECE_MIDDLE (1284)</t>
  </si>
  <si>
    <t>STRUCTURE_PIECE_BOTTOM (50)</t>
  </si>
  <si>
    <t>TST/src/main/java/com/Nxer/TwistSpaceTechnology/common/modularizedMachine/MM_DimensionallyTranscendentMatterPlasmaForgePrototypeMK2.java</t>
  </si>
  <si>
    <t>texture_block_casing/16_DimensionallyTranscendentMatterPlasmaForgePrototypeMK2</t>
  </si>
  <si>
    <t>sBlockCasingsBA0</t>
  </si>
  <si>
    <t>TST/src/main/java/com/Nxer/TwistSpaceTechnology/common/modularizedMachine/MM_MassFabricatorGenesis.java</t>
  </si>
  <si>
    <t>texture_block_casing/17_MassFabricatorGenesis</t>
  </si>
  <si>
    <t>STRUCTURE_PIECE (65)</t>
  </si>
  <si>
    <t>sBlockCasings10</t>
  </si>
  <si>
    <t>TST/src/main/java/com/Nxer/TwistSpaceTechnology/common/machine/TST_SuperWaterPurifier.java</t>
  </si>
  <si>
    <t>D:\tmp\GT5\src\main\resources\assets\gregtech\textures\blocks\iconsets\COOLANT_DUCT_CASING.png</t>
  </si>
  <si>
    <t>texture_block_casing/18_SuperWaterPurifier</t>
  </si>
  <si>
    <t>STRUCTURE_PIECE (354)</t>
  </si>
  <si>
    <t>sBlockCasings8</t>
  </si>
  <si>
    <t>D:\tmp\GT5\src\main\resources\assets\gregtech\textures\blocks\iconsets\INFINITY_COOLED_CASING.png</t>
  </si>
  <si>
    <t>STRUCTURE_PIECE (19)</t>
  </si>
  <si>
    <t>STRUCTURE_PIECE (115)</t>
  </si>
  <si>
    <t>Materials.SixPhasedCopper</t>
  </si>
  <si>
    <t>STRUCTURE_PIECE (8)</t>
  </si>
  <si>
    <t>GodforgeCasings</t>
  </si>
  <si>
    <t>D:\tmp\GT5\src\main\resources\assets\gregtech\textures\blocks\iconsets\GRAVITON_TOP_BOTTOM.png</t>
  </si>
  <si>
    <t>STRUCTURE_PIECE (380)</t>
  </si>
  <si>
    <t>BlockGodforgeGlass.INSTANCE</t>
  </si>
  <si>
    <t>D:\tmp\GT5\src\main\resources\assets\tectech\textures\blocks\blockSpatiallyTranscendentGravitationalLens.png</t>
  </si>
  <si>
    <t>STRUCTURE_PIECE_MAIN (36); STRUCTURE_PIECE_RING_O (640); STRUCTURE_PIECE_RING_C (640); STRUCTURE_PIECE_RING_M (640); STRUCTURE_PIECE_END (36)</t>
  </si>
  <si>
    <t>TST/src/main/java/com/Nxer/TwistSpaceTechnology/system/DysonSphereProgram/machines/TST_StrangeMatterAggregator.java</t>
  </si>
  <si>
    <t>D:\tmp\GT5\src\main\resources\assets\gregtech\textures\blocks\iconsets\EM_INNER_SPACETIME_REINFORCED_EOH_CASING.png</t>
  </si>
  <si>
    <t>texture_block_casing/19_StrangeMatterAggregator</t>
  </si>
  <si>
    <t>STRUCTURE_PIECE_MAIN (221); STRUCTURE_PIECE_RING_O (432); STRUCTURE_PIECE_RING_C (432); STRUCTURE_PIECE_RING_M (432); STRUCTURE_PIECE_END (185)</t>
  </si>
  <si>
    <t>STRUCTURE_PIECE_MAIN (153); STRUCTURE_PIECE_RING_O (372); STRUCTURE_PIECE_RING_C (372); STRUCTURE_PIECE_RING_M (372); STRUCTURE_PIECE_END (153)</t>
  </si>
  <si>
    <t>STRUCTURE_PIECE_MAIN (4); STRUCTURE_PIECE_RING_O (52); STRUCTURE_PIECE_RING_C (52); STRUCTURE_PIECE_RING_M (52); STRUCTURE_PIECE_END (4)</t>
  </si>
  <si>
    <t>STRUCTURE_PIECE_MAIN (1); STRUCTURE_PIECE_RING_O (36); STRUCTURE_PIECE_RING_C (36); STRUCTURE_PIECE_RING_M (36); STRUCTURE_PIECE_END (2)</t>
  </si>
  <si>
    <t>STRUCTURE_PIECE_MAIN (16); STRUCTURE_PIECE_RING_O (16); STRUCTURE_PIECE_RING_C (16); STRUCTURE_PIECE_RING_M (16); STRUCTURE_PIECE_END (16)</t>
  </si>
  <si>
    <t>STRUCTURE_PIECE_MAIN (32); STRUCTURE_PIECE_RING_O (512); STRUCTURE_PIECE_RING_C (512); STRUCTURE_PIECE_RING_M (512); STRUCTURE_PIECE_END (64)</t>
  </si>
  <si>
    <t>STRUCTURE_PIECE_RING_O (48)</t>
  </si>
  <si>
    <t>X</t>
  </si>
  <si>
    <t>TstBlocks.SpaceTimeOscillator</t>
  </si>
  <si>
    <t>D:\tmp\TST\src\main\resources\assets\gtnhcommunitymod\textures\blocks\SpaceTimeOscillator\0.png</t>
  </si>
  <si>
    <t>D:\tmp\TST\src\main\resources\assets\gtnhcommunitymod\textures\blocks\SpaceTimeOscillator\1.png</t>
  </si>
  <si>
    <t>D:\tmp\TST\src\main\resources\assets\gtnhcommunitymod\textures\blocks\SpaceTimeOscillator\2.png</t>
  </si>
  <si>
    <t>STRUCTURE_PIECE_RING_C (48)</t>
  </si>
  <si>
    <t>Y</t>
  </si>
  <si>
    <t>TstBlocks.SpaceTimeConstraintor</t>
  </si>
  <si>
    <t>D:\tmp\TST\src\main\resources\assets\gtnhcommunitymod\textures\blocks\SpaceTimeConstraintor\0.png</t>
  </si>
  <si>
    <t>D:\tmp\TST\src\main\resources\assets\gtnhcommunitymod\textures\blocks\SpaceTimeConstraintor\1.png</t>
  </si>
  <si>
    <t>D:\tmp\TST\src\main\resources\assets\gtnhcommunitymod\textures\blocks\SpaceTimeConstraintor\2.png</t>
  </si>
  <si>
    <t>STRUCTURE_PIECE_RING_M (48)</t>
  </si>
  <si>
    <t>Z</t>
  </si>
  <si>
    <t>TstBlocks.SpaceTimeMerger</t>
  </si>
  <si>
    <t>D:\tmp\TST\src\main\resources\assets\gtnhcommunitymod\textures\blocks\SpaceTimeMerger\0.png</t>
  </si>
  <si>
    <t>D:\tmp\TST\src\main\resources\assets\gtnhcommunitymod\textures\blocks\SpaceTimeMerger\1.png</t>
  </si>
  <si>
    <t>D:\tmp\TST\src\main\resources\assets\gtnhcommunitymod\textures\blocks\SpaceTimeMerger\2.png</t>
  </si>
  <si>
    <t>STRUCTURE_PIECE_MAIN (1469)</t>
  </si>
  <si>
    <t>TST/src/main/java/com/Nxer/TwistSpaceTechnology/common/machine/GTCM_HyperSpacetimeTransformer.java</t>
  </si>
  <si>
    <t>texture_block_casing/20_HyperSpacetimeTransformer</t>
  </si>
  <si>
    <t>STRUCTURE_PIECE_MAIN (21)</t>
  </si>
  <si>
    <t>STRUCTURE_PIECE_MAIN (72)</t>
  </si>
  <si>
    <t>STRUCTURE_PIECE_MAIN (108)</t>
  </si>
  <si>
    <t>SpacetimeCompressionFieldGenerators</t>
  </si>
  <si>
    <t>STRUCTURE_PIECE_MAIN (48)</t>
  </si>
  <si>
    <t>STRUCTURE_PIECE_MAIN (30)</t>
  </si>
  <si>
    <t>TimeAccelerationFieldGenerator</t>
  </si>
  <si>
    <t>STRUCTURE_PIECE_MAIN (143)</t>
  </si>
  <si>
    <t>STRUCTURE_PIECE_MAIN (448)</t>
  </si>
  <si>
    <t>ModBlocks.blockCasings5Misc</t>
  </si>
  <si>
    <t>D:\tmp\GT5\src\main\resources\assets\gregtech\textures\blocks\iconsets\Manipulator_Top.png
D:\tmp\GT5\src\main\resources\assets\gregtech\textures\blocks\iconsets\NeutronPulseManipulator.png</t>
  </si>
  <si>
    <t>D:\tmp\GT5\src\main\resources\assets\gregtech\textures\blocks\iconsets\Manipulator_Top.png
D:\tmp\GT5\src\main\resources\assets\gregtech\textures\blocks\iconsets\CosmicFabricManipulator.png</t>
  </si>
  <si>
    <t>D:\tmp\GT5\src\main\resources\assets\gregtech\textures\blocks\iconsets\Manipulator_Top.png
D:\tmp\GT5\src\main\resources\assets\gregtech\textures\blocks\iconsets\InfinityInfusedManipulator.png</t>
  </si>
  <si>
    <t>D:\tmp\GT5\src\main\resources\assets\gregtech\textures\blocks\iconsets\Manipulator_Top.png
D:\tmp\GT5\src\main\resources\assets\gregtech\textures\blocks\iconsets\SpaceTimeContinuumRipper.png</t>
  </si>
  <si>
    <t>STRUCTURE_PIECE_MAIN (368)</t>
  </si>
  <si>
    <t>D:\tmp\GT5\src\main\resources\assets\gregtech\textures\blocks\iconsets\NeutronShieldingCore.png</t>
  </si>
  <si>
    <t>D:\tmp\GT5\src\main\resources\assets\gregtech\textures\blocks\iconsets\CosmicFabricShieldingCore.png</t>
  </si>
  <si>
    <t>D:\tmp\GT5\src\main\resources\assets\gregtech\textures\blocks\iconsets\InfinityInfusedShieldingCore.png</t>
  </si>
  <si>
    <t>D:\tmp\GT5\src\main\resources\assets\gregtech\textures\blocks\iconsets\SpaceTimeBendingCore.png</t>
  </si>
  <si>
    <t>STRUCTURE_PIECE_MAIN (812)</t>
  </si>
  <si>
    <t>MAIN (48)</t>
  </si>
  <si>
    <t>FRF_Coil_1</t>
  </si>
  <si>
    <t>TST/src/main/java/com/Nxer/TwistSpaceTechnology/common/machine/TST_Computer.java</t>
  </si>
  <si>
    <t>D:\tmp\GT5\src\main\resources\assets\goodgenerator\textures\blocks\FRF_Coils\1.png</t>
  </si>
  <si>
    <t>texture_block_casing/21_AstralComputingArray</t>
  </si>
  <si>
    <t>MAIN (80)</t>
  </si>
  <si>
    <t>compactFusionCoil</t>
  </si>
  <si>
    <t>D:\tmp\GT5\src\main\resources\assets\goodgenerator\textures\blocks\fuison\1.png
D:\tmp\GT5\src\main\resources\assets\goodgenerator\textures\blocks\fuison\2.png
D:\tmp\GT5\src\main\resources\assets\goodgenerator\textures\blocks\fuison\3.png
(+2 file khác trong folder máy)</t>
  </si>
  <si>
    <t>MAIN (436)</t>
  </si>
  <si>
    <t>sBlockCasingsSE</t>
  </si>
  <si>
    <t>MAIN (25)</t>
  </si>
  <si>
    <t>MAIN (295)</t>
  </si>
  <si>
    <t>MAIN (280)</t>
  </si>
  <si>
    <t>MAIN (1277)</t>
  </si>
  <si>
    <t>D:\tmp\GT5\src\main\resources\assets\gregtech\textures\blocks\iconsets\EM_PC_NONSIDE.png
D:\tmp\GT5\src\main\resources\assets\gregtech\textures\blocks\iconsets\EM_PC.png</t>
  </si>
  <si>
    <t>MAIN (168)</t>
  </si>
  <si>
    <t>D:\tmp\GT5\src\main\resources\assets\gregtech\textures\blocks\iconsets\EM_PC_VENT_NONSIDE.png
D:\tmp\GT5\src\main\resources\assets\gregtech\textures\blocks\iconsets\EM_PC_VENT.png</t>
  </si>
  <si>
    <t>MAIN (671)</t>
  </si>
  <si>
    <t>D:\tmp\GT5\src\main\resources\assets\gregtech\textures\blocks\iconsets\EM_PC_ADV_NONSIDE.png
D:\tmp\GT5\src\main\resources\assets\gregtech\textures\blocks\iconsets\EM_PC_ADV.png</t>
  </si>
  <si>
    <t>MAIN (516)</t>
  </si>
  <si>
    <t>MAIN (64)</t>
  </si>
  <si>
    <t>radiationProtectionSteelFrame</t>
  </si>
  <si>
    <t>D:\tmp\GT5\src\main\resources\assets\goodgenerator\textures\blocks\radiationProtectionSteelFrame.png</t>
  </si>
  <si>
    <t>MAIN (308)</t>
  </si>
  <si>
    <t>blockCasings3Misc</t>
  </si>
  <si>
    <t>D:\tmp\GT5\src\main\resources\assets\gregtech\textures\blocks\iconsets\CONTAINMENT_CASING.png</t>
  </si>
  <si>
    <t>MAIN (821)</t>
  </si>
  <si>
    <t>MAIN (4)</t>
  </si>
  <si>
    <t>pylon</t>
  </si>
  <si>
    <t>C:\Users\mtien\.codex\generated_images\01a01eb0-3916-7be3-b9fe-3156e0042d24\exec-9012ebb6-3592-4106-ad13-2b7898d60167.png</t>
  </si>
  <si>
    <t>Pylon tinh thể và mạch sao; thiết kế mới theo chủ đề Astral Computing Array. Target: TSTBlocks.ASTRAL_PYLON_CASING</t>
  </si>
  <si>
    <t>Block.getBlockById(1)</t>
  </si>
  <si>
    <t>C:/Users/mtien/.gradle/caches/forge_gradle/minecraft_repo/versions/1.20.1/client-extra.jar!/assets/minecraft/textures/block/stone.png</t>
  </si>
  <si>
    <t>Block ID 1 của Minecraft 1.7.10 là Stone; dùng Blocks.STONE. Target: Blocks.STONE</t>
  </si>
  <si>
    <t>MAIN (440)</t>
  </si>
  <si>
    <t>MAIN (144)</t>
  </si>
  <si>
    <t>STRUCTURE_PIECE_MAIN (10)</t>
  </si>
  <si>
    <t>TST/src/main/java/com/Nxer/TwistSpaceTechnology/common/machine/TST_LargeIndustrialCokingFactory.java</t>
  </si>
  <si>
    <t>texture_block_casing/22_LargeIndustrialCokingFactory</t>
  </si>
  <si>
    <t>GregTechAPI.sBlockCasings3</t>
  </si>
  <si>
    <t>D:\tmp\GT5\src\main\resources\assets\gregtech\textures\blocks\iconsets\MACHINE_CASING_FIREBOX_TUNGSTENSTEEL_TOP.png
D:\tmp\GT5\src\main\resources\assets\gregtech\textures\blocks\iconsets\MACHINE_CASING_FIREBOX_TUNGSTENSTEEL.png</t>
  </si>
  <si>
    <t>STRUCTURE_PIECE_MAIN (304)</t>
  </si>
  <si>
    <t>D:\tmp\GT5\src\main\resources\assets\gregtech\textures\blocks\iconsets\MACHINE_CASING_ROBUST_TUNGSTENSTEEL.png</t>
  </si>
  <si>
    <t>STRUCTURE_PIECE_MAIN (275)</t>
  </si>
  <si>
    <t>STRUCTURE_PIECE_MAIN (593)</t>
  </si>
  <si>
    <t>GregTechAPI.sBlockCasingsNH</t>
  </si>
  <si>
    <t>D:\tmp\GT5\src\main\resources\assets\gregtech\textures\blocks\iconsets\MACHINE_ULV_SIDE.png</t>
  </si>
  <si>
    <t>STRUCTURE_PIECE_MAIN (579)</t>
  </si>
  <si>
    <t>D:\tmp\GT5\src\main\resources\assets\gregtech\textures\blocks\iconsets\MACHINE_CASING_FIREBOX_STEEL.png</t>
  </si>
  <si>
    <t>Materials.BlackSteel</t>
  </si>
  <si>
    <t>STRUCTURE_PIECE_MAIN (243)</t>
  </si>
  <si>
    <t>Materials.Steel</t>
  </si>
  <si>
    <t>STRUCTURE_PIECE_MAIN (40)</t>
  </si>
  <si>
    <t>TST/src/main/java/com/Nxer/TwistSpaceTechnology/system/OreProcess/machines/TST_OreProcessingFactory.java</t>
  </si>
  <si>
    <t>texture_block_casing/23_OreProcessingFactory</t>
  </si>
  <si>
    <t>STRUCTURE_PIECE_MAIN (512)</t>
  </si>
  <si>
    <t>D:\tmp\GT5\src\main\resources\assets\gregtech\textures\blocks\iconsets\MACHINE_CASING_GEARBOX_TITANIUM.png</t>
  </si>
  <si>
    <t>D:\tmp\GT5\src\main\resources\assets\gregtech\textures\blocks\iconsets\MACHINE_CASING_PROCESSOR.png</t>
  </si>
  <si>
    <t>STRUCTURE_PIECE_MAIN (300)</t>
  </si>
  <si>
    <t>STRUCTURE_PIECE_MAIN (165)</t>
  </si>
  <si>
    <t>STRUCTURE_PIECE_MAIN (104)</t>
  </si>
  <si>
    <t>STRUCTURE_PIECE_MAIN (1144)</t>
  </si>
  <si>
    <t>STRUCTURE_PIECE_MAIN (7)</t>
  </si>
  <si>
    <t>STRUCTURE_PIECE_MAIN (146)</t>
  </si>
  <si>
    <t>STRUCTURE_PIECE_MAIN (20)</t>
  </si>
  <si>
    <t>Materials.TungstenSteel</t>
  </si>
  <si>
    <t>TST/src/main/java/com/Nxer/TwistSpaceTechnology/common/machine/TST_StarcoreMiner.java</t>
  </si>
  <si>
    <t>texture_block_casing/24_StarcoreMiner</t>
  </si>
  <si>
    <t>D:\tmp\GT5\src\main\resources\assets\gregtech\textures\blocks\iconsets\MACHINE_HEATPROOFCASING.png</t>
  </si>
  <si>
    <t>Blocks.bedrock</t>
  </si>
  <si>
    <t>C:/Users/mtien/.gradle/caches/forge_gradle/minecraft_repo/versions/1.20.1/client-extra.jar!/assets/minecraft/textures/block/bedrock.png</t>
  </si>
  <si>
    <t>Block vanilla có sẵn trong môi trường GTCEu 1.20.1. Target: Blocks.BEDROCK</t>
  </si>
  <si>
    <t>STRUCTURE_PIECE_MAIN (24); STRUCTURE_PIECE_TIER2 (24)</t>
  </si>
  <si>
    <t>TST/src/main/java/com/Nxer/TwistSpaceTechnology/common/machine/TST_LaserMeteorMiner.java</t>
  </si>
  <si>
    <t>texture_block_casing/25_MeteorMiner</t>
  </si>
  <si>
    <t>STRUCTURE_PIECE_MAIN (19); STRUCTURE_PIECE_TIER2 (13)</t>
  </si>
  <si>
    <t>D:\tmp\GT5\src\main\resources\assets\gregtech\textures\blocks\iconsets\MACHINE_COIL_SUPERCONDUCTOR.png
D:\tmp\GT5\src\main\resources\assets\gregtech\textures\blocks\iconsets\MACHINE_CASING_SOLID_STEEL.png</t>
  </si>
  <si>
    <t>STRUCTURE_PIECE_TIER2 (40)</t>
  </si>
  <si>
    <t>D:\tmp\GT5\src\main\resources\assets\gregtech\textures\blocks\iconsets\MACHINE_CASING_FUSION_COIL.png</t>
  </si>
  <si>
    <t>STRUCTURE_PIECE_TIER2 (24)</t>
  </si>
  <si>
    <t>STRUCTURE_PIECE_TIER2 (103)</t>
  </si>
  <si>
    <t>STRUCTURE_PIECE_TIER2 (16)</t>
  </si>
  <si>
    <t>D:\tmp\GT5\src\main\resources\assets\gregtech\textures\blocks\iconsets\MACHINE_CASING_PLASMA_HEATER.png</t>
  </si>
  <si>
    <t>STRUCTURE_PIECE_TIER2 (44)</t>
  </si>
  <si>
    <t>Materials.Neutronium</t>
  </si>
  <si>
    <t>STRUCTURE_PIECE_TIER2 (20)</t>
  </si>
  <si>
    <t>Materials.BlackPlutonium</t>
  </si>
  <si>
    <t>Materials.StainlessSteel</t>
  </si>
  <si>
    <t>ModBlocks.blockSpecialMultiCasings</t>
  </si>
  <si>
    <t>D:\tmp\GT5\src\main\resources\assets\miscutils\textures\blocks\TileEntities\MACHINE_CASING_STABLE_MARAGINGSTEEL.png</t>
  </si>
  <si>
    <t>STRUCTURE_PIECE_MAIN (156)</t>
  </si>
  <si>
    <t>D:\tmp\GT5\src\main\resources\assets\miscutils\textures\blocks\TileEntities\machine_top.png</t>
  </si>
  <si>
    <t>STRUCTURE_PIECE_TIER2 (72)</t>
  </si>
  <si>
    <t>STRUCTURE_PIECE_MAIN (1); STRUCTURE_PIECE_TIER2 (1)</t>
  </si>
  <si>
    <t>LaserBeaconRender</t>
  </si>
  <si>
    <t>D:\tmp\TST\src\main\resources\assets\gtnhcommunitymod\textures\blocks\iconSets\LASER_BEACON.png</t>
  </si>
  <si>
    <t>BLOCK/CASING ĐÃ CÓ TRONG GTCEu MODERN 1.20.1</t>
  </si>
  <si>
    <t>‘DÙNG TRỰC TIẾP’ có thể lấy ngay. ‘GTCEu TƯƠNG ĐƯƠNG’ cùng vai trò hoặc màu nhưng cần kiểm tra semantic/balance trước khi thay registry TST/GT5.</t>
  </si>
  <si>
    <t>Tổng mapping</t>
  </si>
  <si>
    <t>Dùng trực tiếp</t>
  </si>
  <si>
    <t>GTCEu tương đương</t>
  </si>
  <si>
    <t>Còn thiếu texture</t>
  </si>
  <si>
    <t>Nguồn đối chiếu: registry GTBlocks/GCYMBlocks và assets trong source GTCEu Modern tại D:/tmp/GTCEu. Danh sách chỉ chứa mapping xuất hiện trong structure của 25 máy.</t>
  </si>
  <si>
    <t>Block/casing TST/GT5</t>
  </si>
  <si>
    <t>Tên cũ</t>
  </si>
  <si>
    <t>Mức mapping</t>
  </si>
  <si>
    <t>Lấy luôn?</t>
  </si>
  <si>
    <t>Block GTCEu 1.20.1</t>
  </si>
  <si>
    <t>Máy sử dụng</t>
  </si>
  <si>
    <t>Tổng vị trí</t>
  </si>
  <si>
    <t>Texture/resource GTCEu</t>
  </si>
  <si>
    <t>Source GTCEu</t>
  </si>
  <si>
    <t>Bedrock</t>
  </si>
  <si>
    <t>CÓ</t>
  </si>
  <si>
    <t>Blocks.BEDROCK</t>
  </si>
  <si>
    <t>minecraft:block/bedrock</t>
  </si>
  <si>
    <t>D:/tmp/GTCEu/src/main/java/com/gregtechceu/gtceu/common/data/GTBlocks.java</t>
  </si>
  <si>
    <t>Vanilla block có sẵn trong GTCEu runtime.</t>
  </si>
  <si>
    <t>Obsidian</t>
  </si>
  <si>
    <t>Blocks.OBSIDIAN</t>
  </si>
  <si>
    <t>minecraft:block/obsidian</t>
  </si>
  <si>
    <t>Stone</t>
  </si>
  <si>
    <t>Blocks.STONE</t>
  </si>
  <si>
    <t>minecraft:block/stone</t>
  </si>
  <si>
    <t>Block ID 1 trong 1.7.10 là Stone.</t>
  </si>
  <si>
    <t>sBlockCasings2</t>
  </si>
  <si>
    <t>Frostproof Machine Casing</t>
  </si>
  <si>
    <t>GTBlocks.CASING_ALUMINIUM_FROSTPROOF</t>
  </si>
  <si>
    <t>GiantVacuumDryingFurnace, HyperThermalConvector</t>
  </si>
  <si>
    <t>gtceu:block/casings/solid/machine_casing_frost_proof</t>
  </si>
  <si>
    <t>Casing chuẩn GTCEu.</t>
  </si>
  <si>
    <t>sBlockCasings1</t>
  </si>
  <si>
    <t>Bronze Plated Bricks</t>
  </si>
  <si>
    <t>GTBlocks.CASING_BRONZE_BRICKS</t>
  </si>
  <si>
    <t>gtceu:block/casings/solid/machine_casing_bronze_plated_bricks</t>
  </si>
  <si>
    <t>Casing gốc GT5 được GTCEu Modern giữ lại.</t>
  </si>
  <si>
    <t>Heatproof Machine Casing</t>
  </si>
  <si>
    <t>GTBlocks.CASING_INVAR_HEATPROOF</t>
  </si>
  <si>
    <t>gtceu:block/casings/solid/machine_casing_heatproof</t>
  </si>
  <si>
    <t>Cùng vai trò và cùng family texture.</t>
  </si>
  <si>
    <t>PTFE Pipe Casing</t>
  </si>
  <si>
    <t>GTBlocks.CASING_POLYTETRAFLUOROETHYLENE_PIPE</t>
  </si>
  <si>
    <t>gtceu:block/casings/pipe/machine_casing_pipe_polytetrafluoroethylene</t>
  </si>
  <si>
    <t>Chemically Inert PTFE Casing</t>
  </si>
  <si>
    <t>GTBlocks.CASING_PTFE_INERT</t>
  </si>
  <si>
    <t>gtceu:block/casings/solid/machine_casing_inert_ptfe</t>
  </si>
  <si>
    <t>sBlockCasings4</t>
  </si>
  <si>
    <t>Clean Stainless Steel Casing</t>
  </si>
  <si>
    <t>GTBlocks.CASING_STAINLESS_CLEAN</t>
  </si>
  <si>
    <t>GiantVacuumDryingFurnace, LargeNeutronOscillator, MegaTreeFarm, OreProcessingFactory</t>
  </si>
  <si>
    <t>gtceu:block/casings/solid/machine_casing_clean_stainless_steel</t>
  </si>
  <si>
    <t>Solid Steel Machine Casing</t>
  </si>
  <si>
    <t>GTBlocks.CASING_STEEL_SOLID</t>
  </si>
  <si>
    <t>gtceu:block/casings/solid/machine_casing_solid_steel</t>
  </si>
  <si>
    <t>Titanium Gearbox Casing</t>
  </si>
  <si>
    <t>GTBlocks.CASING_TITANIUM_GEARBOX</t>
  </si>
  <si>
    <t>gtceu:block/casings/gearbox/machine_casing_gearbox_titanium</t>
  </si>
  <si>
    <t>Tungstensteel Gearbox Casing</t>
  </si>
  <si>
    <t>GTBlocks.CASING_TUNGSTENSTEEL_GEARBOX</t>
  </si>
  <si>
    <t>DeployedNanoCore, Disassembler</t>
  </si>
  <si>
    <t>gtceu:block/casings/gearbox/machine_casing_gearbox_tungstensteel</t>
  </si>
  <si>
    <t>Tungstensteel Pipe Casing</t>
  </si>
  <si>
    <t>GTBlocks.CASING_TUNGSTENSTEEL_PIPE</t>
  </si>
  <si>
    <t>LargeIndustrialCokingFactory, MegaStoneBreaker, OreProcessingFactory, StarcoreMiner</t>
  </si>
  <si>
    <t>gtceu:block/casings/pipe/machine_casing_pipe_tungstensteel</t>
  </si>
  <si>
    <t>Robust Tungstensteel Casing</t>
  </si>
  <si>
    <t>GTBlocks.CASING_TUNGSTENSTEEL_ROBUST</t>
  </si>
  <si>
    <t>LargeIndustrialCokingFactory, OreProcessingFactory</t>
  </si>
  <si>
    <t>gtceu:block/casings/solid/machine_casing_robust_tungstensteel</t>
  </si>
  <si>
    <t>sBlockCasings5</t>
  </si>
  <si>
    <t>Cupronickel Heating Coil</t>
  </si>
  <si>
    <t>GTBlocks.COIL_CUPRONICKEL</t>
  </si>
  <si>
    <t>DimensionallyTranscendentMatterPlasmaForgePrototypeMK2, GiantVacuumDryingFurnace, LargeIndustrialCokingFactory</t>
  </si>
  <si>
    <t>gtceu:block/casings/coils/machine_coil_cupronickel</t>
  </si>
  <si>
    <t>Heating coil chuẩn GTCEu.</t>
  </si>
  <si>
    <t>HSS-G Heating Coil</t>
  </si>
  <si>
    <t>GTBlocks.COIL_HSSG</t>
  </si>
  <si>
    <t>gtceu:block/casings/coils/machine_coil_hssg</t>
  </si>
  <si>
    <t>Kanthal Heating Coil</t>
  </si>
  <si>
    <t>GTBlocks.COIL_KANTHAL</t>
  </si>
  <si>
    <t>gtceu:block/casings/coils/machine_coil_kanthal</t>
  </si>
  <si>
    <t>Naquadah Heating Coil</t>
  </si>
  <si>
    <t>GTBlocks.COIL_NAQUADAH</t>
  </si>
  <si>
    <t>DimensionallyTranscendentMatterPlasmaForgePrototypeMK2, GiantVacuumDryingFurnace, LargeIndustrialCokingFactory, MeteorMiner</t>
  </si>
  <si>
    <t>gtceu:block/casings/coils/machine_coil_naquadah</t>
  </si>
  <si>
    <t>Nichrome Heating Coil</t>
  </si>
  <si>
    <t>GTBlocks.COIL_NICHROME</t>
  </si>
  <si>
    <t>gtceu:block/casings/coils/machine_coil_nichrome</t>
  </si>
  <si>
    <t>Trinium Heating Coil</t>
  </si>
  <si>
    <t>GTBlocks.COIL_TRINIUM</t>
  </si>
  <si>
    <t>gtceu:block/casings/coils/machine_coil_trinium</t>
  </si>
  <si>
    <t>sBlockCasings3</t>
  </si>
  <si>
    <t>Tungstensteel Firebox Casing</t>
  </si>
  <si>
    <t>GTBlocks.FIREBOX_TUNGSTENSTEEL</t>
  </si>
  <si>
    <t>gtceu:block/casings/firebox/machine_casing_firebox_tungstensteel</t>
  </si>
  <si>
    <t>Dùng block active firebox của GTCEu.</t>
  </si>
  <si>
    <t>Fusion Coil</t>
  </si>
  <si>
    <t>GTBlocks.FUSION_COIL</t>
  </si>
  <si>
    <t>gtceu:block/casings/fusion/fusion_coil</t>
  </si>
  <si>
    <t>Block fusion coil được GTCEu Modern giữ lại.</t>
  </si>
  <si>
    <t>Distilled Water fluid block</t>
  </si>
  <si>
    <t>GTMaterials.DistilledWater (fluid block/state)</t>
  </si>
  <si>
    <t>minecraft:block/water_still + GTCEu fluid tint</t>
  </si>
  <si>
    <t>GTCEu có material DistilledWater native.</t>
  </si>
  <si>
    <t>*</t>
  </si>
  <si>
    <t>Black Steel Frame</t>
  </si>
  <si>
    <t>Predicates.frames(GTMaterials.BlackSteel)</t>
  </si>
  <si>
    <t>GT material frame texture + BlackSteel tint</t>
  </si>
  <si>
    <t>Dùng frame material native.</t>
  </si>
  <si>
    <t>Iridium Frame</t>
  </si>
  <si>
    <t>Predicates.frames(GTMaterials.Iridium)</t>
  </si>
  <si>
    <t>GT material frame texture + Iridium tint</t>
  </si>
  <si>
    <t>Naquadah Alloy Frame</t>
  </si>
  <si>
    <t>Predicates.frames(GTMaterials.NaquadahAlloy)</t>
  </si>
  <si>
    <t>DSPReceiver, LargeNeutronOscillator, StarcoreMiner</t>
  </si>
  <si>
    <t>GT material frame texture + NaquadahAlloy tint</t>
  </si>
  <si>
    <t>Neutronium Frame</t>
  </si>
  <si>
    <t>Predicates.frames(GTMaterials.Neutronium)</t>
  </si>
  <si>
    <t>GT material frame texture + Neutronium tint</t>
  </si>
  <si>
    <t>Obsidian Frame</t>
  </si>
  <si>
    <t>Predicates.frames(GTMaterials.Obsidian)</t>
  </si>
  <si>
    <t>GT material frame texture + Obsidian tint</t>
  </si>
  <si>
    <t>Stainless Steel Frame</t>
  </si>
  <si>
    <t>Predicates.frames(GTMaterials.StainlessSteel)</t>
  </si>
  <si>
    <t>GT material frame texture + StainlessSteel tint</t>
  </si>
  <si>
    <t>Steel Frame</t>
  </si>
  <si>
    <t>Predicates.frames(GTMaterials.Steel)</t>
  </si>
  <si>
    <t>GT material frame texture + Steel tint</t>
  </si>
  <si>
    <t>Tungsten Steel Frame</t>
  </si>
  <si>
    <t>Predicates.frames(GTMaterials.TungstenSteel)</t>
  </si>
  <si>
    <t>GT material frame texture + TungstenSteel tint</t>
  </si>
  <si>
    <t>Assembler Casing</t>
  </si>
  <si>
    <t>GCYMBlocks.CASING_LARGE_SCALE_ASSEMBLING</t>
  </si>
  <si>
    <t>gtceu:block/casings/gcym/large_scale_assembling_casing</t>
  </si>
  <si>
    <t>Cùng vai trò large assembling.</t>
  </si>
  <si>
    <t>Pressure Resistant Wall</t>
  </si>
  <si>
    <t>GCYMBlocks.CASING_STRESS_PROOF</t>
  </si>
  <si>
    <t>HyperThermalConvector, MegaStoneBreaker</t>
  </si>
  <si>
    <t>gtceu:block/casings/gcym/stress_proof_casing</t>
  </si>
  <si>
    <t>Thay thế theo vai trò chịu áp lực/cơ học.</t>
  </si>
  <si>
    <t>All valid glass family</t>
  </si>
  <si>
    <t>GTBlocks.CASING_TEMPERED_GLASS / FUSION_GLASS</t>
  </si>
  <si>
    <t>GiantVacuumDryingFurnace, LargeNeutronOscillator, MegaNqReactor, MegaTreeFarm, MeteorMiner, OreProcessingFactory, StarcoreMiner</t>
  </si>
  <si>
    <t>gtceu:block/casings/transparent/*</t>
  </si>
  <si>
    <t>Giữ predicate family kính; chọn kính theo tier máy.</t>
  </si>
  <si>
    <t>Processor Casing</t>
  </si>
  <si>
    <t>GTBlocks.COMPUTER_CASING</t>
  </si>
  <si>
    <t>gtceu:block/casings/hpca/computer_casing</t>
  </si>
  <si>
    <t>Cùng vai trò xử lý tính toán, texture không trùng bản GT5.</t>
  </si>
  <si>
    <t>sBlockCasings9</t>
  </si>
  <si>
    <t>Advanced Filter Casing</t>
  </si>
  <si>
    <t>GTBlocks.FILTER_CASING</t>
  </si>
  <si>
    <t>Disassembler, HyperThermalConvector, MegaStoneBreaker, MegaTreeFarm</t>
  </si>
  <si>
    <t>gtceu:block/casings/cleanroom/filter_casing</t>
  </si>
  <si>
    <t>Cùng vai trò lọc/cleanroom.</t>
  </si>
  <si>
    <t>Containment Field Casing</t>
  </si>
  <si>
    <t>GTBlocks.FUSION_CASING</t>
  </si>
  <si>
    <t>DSPReceiver, DeployedNanoCore, Disassembler, HyperThermalConvector</t>
  </si>
  <si>
    <t>gtceu:block/casings/fusion/fusion_casing</t>
  </si>
  <si>
    <t>Cùng vai trò containment, không phải cùng registry.</t>
  </si>
  <si>
    <t>Borosilicate Glass family</t>
  </si>
  <si>
    <t>GTBlocks.FUSION_GLASS</t>
  </si>
  <si>
    <t>Disassembler, IncompactCyclotron, StarcoreMiner</t>
  </si>
  <si>
    <t>gtceu:block/casings/transparent/fusion_glass</t>
  </si>
  <si>
    <t>GTCEu không giữ registry Borosilicate 1.7.10; Fusion Glass gần vai trò nhất.</t>
  </si>
  <si>
    <t>Quantum Glass</t>
  </si>
  <si>
    <t>ArtificialStar, AstralComputingArray, DSPReceiver, DimensionallyTranscendentMatterPlasmaForgePrototypeMK2, HyperSpacetimeTransformer, MassFabricatorGenesis, MiracleTop, StrangeMatterAggregator</t>
  </si>
  <si>
    <t>Thay thế kính endgame; cần xác nhận balance theo từng máy.</t>
  </si>
  <si>
    <t>Purple Light</t>
  </si>
  <si>
    <t>GTBlocks.LAMPS.get(DyeColor.PURPLE)</t>
  </si>
  <si>
    <t>gtceu:block/lamps/purple_on</t>
  </si>
  <si>
    <t>Đúng màu và chức năng phát sáng; khác registry gốc ProjectRed.</t>
  </si>
  <si>
    <t>Cosmic Neutronium Frame</t>
  </si>
  <si>
    <t>DSPLauncher, Disassembler, HyperThermalConvector, MegaStoneBreaker</t>
  </si>
  <si>
    <t>Có mất mát tier/chủ đề; chỉ dùng nếu không tạo material Cosmic Neutronium riêng.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</si>
</sst>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>
    <font>
      <sz val="11"/>
      <color rgb="FF000000"/>
      <name val="Carlito"/>
    </font>
    <font>
      <b/>
      <sz val="18"/>
      <color rgb="FFFFFFFF"/>
      <name val="Play"/>
    </font>
    <font>
      <i/>
      <sz val="10"/>
      <color rgb="FF334155"/>
      <name val="Aptos"/>
    </font>
    <font>
      <sz val="10"/>
      <color theme="1"/>
      <name val="Aptos"/>
    </font>
    <font>
      <b/>
      <sz val="10"/>
      <color rgb="FFFFFFFF"/>
      <name val="Aptos"/>
    </font>
    <font>
      <sz val="11"/>
      <color theme="1"/>
      <name val="Carlito"/>
    </font>
    <font>
      <b/>
      <sz val="10"/>
      <color rgb="FF3B2F00"/>
      <name val="Aptos"/>
    </font>
    <font>
      <sz val="11"/>
      <name val="Carlito"/>
    </font>
    <font>
      <sz val="10"/>
      <name val="Aptos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1F4E78"/>
      <name val="Carlito"/>
    </font>
    <font>
      <b/>
      <sz val="11"/>
      <color rgb="FF000000"/>
      <name val="Carlito"/>
    </font>
    <font>
      <sz val="10"/>
      <color rgb="FF7F6000"/>
      <name val="Carlito"/>
    </font>
    <font>
      <b/>
      <sz val="10"/>
      <color rgb="FFFFFFFF"/>
      <name val="Carlito"/>
    </font>
    <font>
      <sz val="9"/>
      <color rgb="FF222222"/>
      <name val="Carlito"/>
    </font>
    <font>
      <b/>
      <sz val="9"/>
      <color rgb="FF375623"/>
      <name val="Carlito"/>
    </font>
    <font>
      <b/>
      <sz val="9"/>
      <color rgb="FF5F497A"/>
      <name val="Carlito"/>
    </font>
    <font>
      <b/>
      <sz val="9"/>
      <color rgb="FF1F4E78"/>
      <name val="Carlito"/>
    </font>
    <font>
      <b/>
      <sz val="9"/>
      <color theme="1"/>
      <name val="Carlito"/>
    </font>
  </fonts>
  <fills count="3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F4B942"/>
      </patternFill>
    </fill>
    <fill>
      <patternFill patternType="solid">
        <fgColor rgb="FFFFF8E1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DDF4E7"/>
      </patternFill>
    </fill>
    <fill>
      <patternFill patternType="solid">
        <fgColor rgb="FFFEF3C7"/>
      </patternFill>
    </fill>
    <fill>
      <patternFill patternType="solid">
        <fgColor rgb="FFFDE2E2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DDF4E7"/>
      </patternFill>
    </fill>
    <fill>
      <patternFill patternType="solid">
        <fgColor rgb="FFFDE2E2"/>
      </patternFill>
    </fill>
    <fill>
      <patternFill patternType="solid">
        <fgColor rgb="FF00B050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B8D5D0"/>
      </right>
      <top style="thin">
        <color rgb="FFCBD5E1"/>
      </top>
      <bottom/>
      <diagonal/>
    </border>
    <border>
      <left style="thin">
        <color rgb="FFB8D5D0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B8D5D0"/>
      </right>
      <top style="thin">
        <color rgb="FFCBD5E1"/>
      </top>
      <bottom/>
      <diagonal/>
    </border>
    <border>
      <left style="thin">
        <color rgb="FFB8D5D0"/>
      </left>
      <right style="thin">
        <color rgb="FFB8D5D0"/>
      </right>
      <top style="thin">
        <color rgb="FFCBD5E1"/>
      </top>
      <bottom/>
      <diagonal/>
    </border>
    <border>
      <left style="thin">
        <color rgb="FFB8D5D0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B8D5D0"/>
      </right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B8D5D0"/>
      </left>
      <right style="thin">
        <color rgb="FFB8D5D0"/>
      </right>
      <top/>
      <bottom/>
      <diagonal/>
    </border>
    <border>
      <left style="thin">
        <color rgb="FFB8D5D0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0" borderId="3" xfId="0" applyFont="1" applyBorder="1"/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0" borderId="7" xfId="0" applyFont="1" applyBorder="1"/>
    <xf numFmtId="0" fontId="4" fillId="4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5" borderId="0" xfId="0" applyFont="1" applyFill="1"/>
    <xf numFmtId="164" fontId="3" fillId="0" borderId="0" xfId="0" applyNumberFormat="1" applyFont="1"/>
    <xf numFmtId="0" fontId="5" fillId="6" borderId="0" xfId="0" applyFont="1" applyFill="1"/>
    <xf numFmtId="0" fontId="5" fillId="9" borderId="0" xfId="0" applyFont="1" applyFill="1"/>
    <xf numFmtId="0" fontId="4" fillId="4" borderId="8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10" borderId="0" xfId="0" applyNumberFormat="1" applyFont="1" applyFill="1" applyBorder="1" applyAlignment="1">
      <alignment vertical="center"/>
    </xf>
    <xf numFmtId="0" fontId="3" fillId="10" borderId="0" xfId="0" applyNumberFormat="1" applyFont="1" applyFill="1" applyBorder="1" applyAlignment="1">
      <alignment vertical="center" wrapText="1"/>
    </xf>
    <xf numFmtId="0" fontId="0" fillId="11" borderId="0" xfId="0" applyNumberFormat="1" applyFont="1" applyFill="1" applyBorder="1" applyAlignment="1"/>
    <xf numFmtId="0" fontId="3" fillId="13" borderId="0" xfId="0" applyNumberFormat="1" applyFont="1" applyFill="1" applyBorder="1" applyAlignment="1">
      <alignment vertical="center"/>
    </xf>
    <xf numFmtId="0" fontId="0" fillId="13" borderId="0" xfId="0" applyNumberFormat="1" applyFont="1" applyFill="1" applyBorder="1" applyAlignment="1"/>
    <xf numFmtId="0" fontId="0" fillId="12" borderId="0" xfId="0" applyNumberFormat="1" applyFont="1" applyFill="1" applyBorder="1" applyAlignment="1"/>
    <xf numFmtId="0" fontId="0" fillId="14" borderId="0" xfId="0" applyFont="1" applyFill="1" applyAlignment="1"/>
    <xf numFmtId="0" fontId="3" fillId="15" borderId="0" xfId="0" applyNumberFormat="1" applyFont="1" applyFill="1" applyBorder="1" applyAlignment="1">
      <alignment vertical="center"/>
    </xf>
    <xf numFmtId="0" fontId="3" fillId="15" borderId="0" xfId="0" applyNumberFormat="1" applyFont="1" applyFill="1" applyBorder="1" applyAlignment="1">
      <alignment vertical="center" wrapText="1"/>
    </xf>
    <xf numFmtId="0" fontId="3" fillId="16" borderId="0" xfId="0" applyNumberFormat="1" applyFont="1" applyFill="1" applyBorder="1" applyAlignment="1">
      <alignment vertical="center"/>
    </xf>
    <xf numFmtId="0" fontId="3" fillId="16" borderId="0" xfId="0" applyNumberFormat="1" applyFont="1" applyFill="1" applyBorder="1" applyAlignment="1">
      <alignment vertical="center" wrapText="1"/>
    </xf>
    <xf numFmtId="0" fontId="3" fillId="17" borderId="0" xfId="0" applyNumberFormat="1" applyFont="1" applyFill="1" applyBorder="1" applyAlignment="1">
      <alignment vertical="center"/>
    </xf>
    <xf numFmtId="0" fontId="3" fillId="17" borderId="0" xfId="0" applyNumberFormat="1" applyFont="1" applyFill="1" applyBorder="1" applyAlignment="1">
      <alignment vertical="center" wrapText="1"/>
    </xf>
    <xf numFmtId="0" fontId="0" fillId="17" borderId="0" xfId="0" applyNumberFormat="1" applyFont="1" applyFill="1" applyBorder="1"/>
    <xf numFmtId="0" fontId="0" fillId="17" borderId="0" xfId="0" applyNumberFormat="1" applyFont="1" applyFill="1" applyBorder="1" applyAlignment="1">
      <alignment wrapText="1"/>
    </xf>
    <xf numFmtId="0" fontId="3" fillId="18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8" fillId="19" borderId="0" xfId="0" applyNumberFormat="1" applyFont="1" applyFill="1" applyBorder="1" applyAlignment="1">
      <alignment vertical="center"/>
    </xf>
    <xf numFmtId="0" fontId="8" fillId="19" borderId="0" xfId="0" applyNumberFormat="1" applyFont="1" applyFill="1" applyBorder="1" applyAlignment="1">
      <alignment vertical="center" wrapText="1"/>
    </xf>
    <xf numFmtId="0" fontId="0" fillId="19" borderId="0" xfId="0" applyFont="1" applyFill="1" applyAlignment="1"/>
    <xf numFmtId="0" fontId="11" fillId="22" borderId="15" xfId="0" applyNumberFormat="1" applyFont="1" applyFill="1" applyBorder="1"/>
    <xf numFmtId="0" fontId="12" fillId="23" borderId="15" xfId="0" applyNumberFormat="1" applyFont="1" applyFill="1" applyBorder="1" applyAlignment="1">
      <alignment horizontal="center"/>
    </xf>
    <xf numFmtId="0" fontId="14" fillId="25" borderId="15" xfId="0" applyNumberFormat="1" applyFont="1" applyFill="1" applyBorder="1" applyAlignment="1">
      <alignment horizontal="center" vertical="center" wrapText="1"/>
    </xf>
    <xf numFmtId="0" fontId="15" fillId="0" borderId="16" xfId="0" applyNumberFormat="1" applyFont="1" applyFill="1" applyBorder="1" applyAlignment="1">
      <alignment vertical="top" wrapText="1"/>
    </xf>
    <xf numFmtId="0" fontId="15" fillId="0" borderId="16" xfId="0" applyNumberFormat="1" applyFont="1" applyFill="1" applyBorder="1" applyAlignment="1">
      <alignment horizontal="center" vertical="top" wrapText="1"/>
    </xf>
    <xf numFmtId="0" fontId="16" fillId="26" borderId="16" xfId="0" applyNumberFormat="1" applyFont="1" applyFill="1" applyBorder="1" applyAlignment="1">
      <alignment horizontal="center" vertical="top" wrapText="1"/>
    </xf>
    <xf numFmtId="0" fontId="15" fillId="27" borderId="16" xfId="0" applyNumberFormat="1" applyFont="1" applyFill="1" applyBorder="1" applyAlignment="1">
      <alignment horizontal="center" vertical="top" wrapText="1"/>
    </xf>
    <xf numFmtId="0" fontId="15" fillId="27" borderId="16" xfId="0" applyNumberFormat="1" applyFont="1" applyFill="1" applyBorder="1" applyAlignment="1">
      <alignment vertical="top" wrapText="1"/>
    </xf>
    <xf numFmtId="0" fontId="16" fillId="28" borderId="15" xfId="0" applyNumberFormat="1" applyFont="1" applyFill="1" applyBorder="1" applyAlignment="1">
      <alignment horizontal="center" vertical="center" wrapText="1"/>
    </xf>
    <xf numFmtId="0" fontId="17" fillId="29" borderId="15" xfId="0" applyNumberFormat="1" applyFont="1" applyFill="1" applyBorder="1" applyAlignment="1">
      <alignment horizontal="center" vertical="center" wrapText="1"/>
    </xf>
    <xf numFmtId="0" fontId="18" fillId="30" borderId="15" xfId="0" applyNumberFormat="1" applyFont="1" applyFill="1" applyBorder="1" applyAlignment="1">
      <alignment horizontal="center" vertical="center" wrapText="1"/>
    </xf>
    <xf numFmtId="0" fontId="11" fillId="33" borderId="15" xfId="0" applyNumberFormat="1" applyFont="1" applyFill="1" applyBorder="1"/>
    <xf numFmtId="0" fontId="12" fillId="34" borderId="15" xfId="0" applyNumberFormat="1" applyFont="1" applyFill="1" applyBorder="1" applyAlignment="1">
      <alignment horizontal="center"/>
    </xf>
    <xf numFmtId="0" fontId="14" fillId="36" borderId="15" xfId="0" applyNumberFormat="1" applyFont="1" applyFill="1" applyBorder="1" applyAlignment="1">
      <alignment horizontal="center" vertical="center" wrapText="1"/>
    </xf>
    <xf numFmtId="0" fontId="19" fillId="37" borderId="15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 applyFont="1" applyAlignment="1"/>
    <xf numFmtId="0" fontId="2" fillId="3" borderId="0" xfId="0" applyFont="1" applyFill="1" applyAlignment="1">
      <alignment vertical="center" wrapText="1"/>
    </xf>
    <xf numFmtId="0" fontId="6" fillId="7" borderId="7" xfId="0" applyFont="1" applyFill="1" applyBorder="1"/>
    <xf numFmtId="0" fontId="7" fillId="0" borderId="9" xfId="0" applyFont="1" applyBorder="1"/>
    <xf numFmtId="0" fontId="3" fillId="8" borderId="7" xfId="0" applyFont="1" applyFill="1" applyBorder="1" applyAlignment="1">
      <alignment vertical="top" wrapText="1"/>
    </xf>
    <xf numFmtId="0" fontId="7" fillId="0" borderId="7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9" fillId="31" borderId="0" xfId="0" applyNumberFormat="1" applyFont="1" applyFill="1" applyBorder="1" applyAlignment="1">
      <alignment horizontal="center" vertical="center"/>
    </xf>
    <xf numFmtId="0" fontId="10" fillId="32" borderId="0" xfId="0" applyNumberFormat="1" applyFont="1" applyFill="1" applyBorder="1" applyAlignment="1">
      <alignment vertical="center" wrapText="1"/>
    </xf>
    <xf numFmtId="0" fontId="13" fillId="35" borderId="0" xfId="0" applyNumberFormat="1" applyFont="1" applyFill="1" applyBorder="1" applyAlignment="1">
      <alignment vertical="center" wrapText="1"/>
    </xf>
    <xf numFmtId="0" fontId="9" fillId="20" borderId="0" xfId="0" applyNumberFormat="1" applyFont="1" applyFill="1" applyBorder="1" applyAlignment="1">
      <alignment horizontal="center" vertical="center"/>
    </xf>
    <xf numFmtId="0" fontId="10" fillId="21" borderId="0" xfId="0" applyNumberFormat="1" applyFont="1" applyFill="1" applyBorder="1" applyAlignment="1">
      <alignment vertical="center" wrapText="1"/>
    </xf>
    <xf numFmtId="0" fontId="13" fillId="24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DF4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STMachinesToPort" displayName="TSTMachinesToPort" ref="A4:N29" totalsRowShown="0">
  <autoFilter ref="A4:N29" xr:uid="{00000000-0009-0000-0100-000006000000}"/>
  <tableColumns count="14">
    <tableColumn id="1" xr3:uid="{00000000-0010-0000-0000-000001000000}" name="STT"/>
    <tableColumn id="2" xr3:uid="{00000000-0010-0000-0000-000002000000}" name="Máy / controller"/>
    <tableColumn id="3" xr3:uid="{00000000-0010-0000-0000-000003000000}" name="Class"/>
    <tableColumn id="4" xr3:uid="{00000000-0010-0000-0000-000004000000}" name="Mốc mở khóa ước tính"/>
    <tableColumn id="5" xr3:uid="{00000000-0010-0000-0000-000005000000}" name="Meta ID"/>
    <tableColumn id="6" xr3:uid="{00000000-0010-0000-0000-000006000000}" name="Chức năng"/>
    <tableColumn id="7" xr3:uid="{00000000-0010-0000-0000-000007000000}" name="Recipe map / logic TST"/>
    <tableColumn id="8" xr3:uid="{00000000-0010-0000-0000-000008000000}" name="Cấu trúc"/>
    <tableColumn id="9" xr3:uid="{00000000-0010-0000-0000-000009000000}" name="Class path"/>
    <tableColumn id="10" xr3:uid="{00000000-0010-0000-0000-00000A000000}" name="Recipe controller path"/>
    <tableColumn id="11" xr3:uid="{00000000-0010-0000-0000-00000B000000}" name="URL class"/>
    <tableColumn id="12" xr3:uid="{00000000-0010-0000-0000-00000C000000}" name="URL recipe"/>
    <tableColumn id="13" xr3:uid="{00000000-0010-0000-0000-00000D000000}" name="Confidence"/>
    <tableColumn id="14" xr3:uid="{00000000-0010-0000-0000-00000E000000}" name="Ghi chú quyết định"/>
  </tableColumns>
  <tableStyleInfo name="Danh sách máy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GTCEuPortBacklog" displayName="GTCEuPortBacklog" ref="A4:J29" totalsRowShown="0">
  <autoFilter ref="A4:J29" xr:uid="{00000000-0009-0000-0100-000007000000}"/>
  <tableColumns count="10">
    <tableColumn id="1" xr3:uid="{00000000-0010-0000-0100-000001000000}" name="STT"/>
    <tableColumn id="2" xr3:uid="{00000000-0010-0000-0100-000002000000}" name="Máy TST"/>
    <tableColumn id="3" xr3:uid="{00000000-0010-0000-0100-000003000000}" name="Tier"/>
    <tableColumn id="4" xr3:uid="{00000000-0010-0000-0100-000004000000}" name="Mục tiêu gameplay"/>
    <tableColumn id="5" xr3:uid="{00000000-0010-0000-0100-000005000000}" name="Mapping/kiến trúc GTCEu đề xuất"/>
    <tableColumn id="6" xr3:uid="{00000000-0010-0000-0100-000006000000}" name="Độ phức tạp"/>
    <tableColumn id="7" xr3:uid="{00000000-0010-0000-0100-000007000000}" name="Trạng thái"/>
    <tableColumn id="8" xr3:uid="{00000000-0010-0000-0100-000008000000}" name="Owner"/>
    <tableColumn id="9" xr3:uid="{00000000-0010-0000-0100-000009000000}" name="Rủi ro chính"/>
    <tableColumn id="10" xr3:uid="{00000000-0010-0000-0100-00000A000000}" name="Điểm bắt đầu code"/>
  </tableColumns>
  <tableStyleInfo name="Mapping GTCEu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ExcludedGTCEuOverlap" displayName="ExcludedGTCEuOverlap" ref="A4:K33">
  <tableColumns count="11">
    <tableColumn id="1" xr3:uid="{00000000-0010-0000-0200-000001000000}" name="STT"/>
    <tableColumn id="2" xr3:uid="{00000000-0010-0000-0200-000002000000}" name="Máy TST"/>
    <tableColumn id="3" xr3:uid="{00000000-0010-0000-0200-000003000000}" name="Tier/controller gate"/>
    <tableColumn id="4" xr3:uid="{00000000-0010-0000-0200-000004000000}" name="Class TST"/>
    <tableColumn id="5" xr3:uid="{00000000-0010-0000-0200-000005000000}" name="Large machine GTCEu thay thế"/>
    <tableColumn id="6" xr3:uid="{00000000-0010-0000-0200-000006000000}" name="Logic chung"/>
    <tableColumn id="7" xr3:uid="{00000000-0010-0000-0200-000007000000}" name="Khuyến nghị"/>
    <tableColumn id="8" xr3:uid="{00000000-0010-0000-0200-000008000000}" name="Bằng chứng TST"/>
    <tableColumn id="9" xr3:uid="{00000000-0010-0000-0200-000009000000}" name="Bằng chứng GTCEu"/>
    <tableColumn id="10" xr3:uid="{00000000-0010-0000-0200-00000A000000}" name="URL TST"/>
    <tableColumn id="11" xr3:uid="{00000000-0010-0000-0200-00000B000000}" name="URL GTCEu"/>
  </tableColumns>
  <tableStyleInfo name="Đối chiếu large_machin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sideZPMScope" displayName="OutsideZPMScope" ref="A4:H28">
  <tableColumns count="8">
    <tableColumn id="1" xr3:uid="{00000000-0010-0000-0300-000001000000}" name="STT"/>
    <tableColumn id="2" xr3:uid="{00000000-0010-0000-0300-000002000000}" name="Máy / controller"/>
    <tableColumn id="3" xr3:uid="{00000000-0010-0000-0300-000003000000}" name="Class"/>
    <tableColumn id="4" xr3:uid="{00000000-0010-0000-0300-000004000000}" name="Meta ID"/>
    <tableColumn id="5" xr3:uid="{00000000-0010-0000-0300-000005000000}" name="Lý do loại phạm vi"/>
    <tableColumn id="6" xr3:uid="{00000000-0010-0000-0300-000006000000}" name="Class path"/>
    <tableColumn id="7" xr3:uid="{00000000-0010-0000-0300-000007000000}" name="MachineLoader line"/>
    <tableColumn id="8" xr3:uid="{00000000-0010-0000-0300-000008000000}" name="URL class"/>
  </tableColumns>
  <tableStyleInfo name="Ngoài phạm vi ZPM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TCEuCodeReferences" displayName="GTCEuCodeReferences" ref="A4:F14">
  <tableColumns count="6">
    <tableColumn id="1" xr3:uid="{00000000-0010-0000-0400-000001000000}" name="Chủ đề"/>
    <tableColumn id="2" xr3:uid="{00000000-0010-0000-0400-000002000000}" name="Class/API/registry"/>
    <tableColumn id="3" xr3:uid="{00000000-0010-0000-0400-000003000000}" name="Path trong GregTech Modern"/>
    <tableColumn id="4" xr3:uid="{00000000-0010-0000-0400-000004000000}" name="Cách dùng khi port"/>
    <tableColumn id="5" xr3:uid="{00000000-0010-0000-0400-000005000000}" name="URL source"/>
    <tableColumn id="6" xr3:uid="{00000000-0010-0000-0400-000006000000}" name="Ghi chú"/>
  </tableColumns>
  <tableStyleInfo name="GTCEu API tham chiế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workbookViewId="0">
      <selection sqref="A1:H1"/>
    </sheetView>
  </sheetViews>
  <sheetFormatPr defaultColWidth="12.625" defaultRowHeight="14.25"/>
  <cols>
    <col min="1" max="1" width="31" customWidth="1"/>
    <col min="2" max="2" width="16" customWidth="1"/>
    <col min="3" max="3" width="3" customWidth="1"/>
    <col min="4" max="4" width="17" customWidth="1"/>
    <col min="5" max="5" width="14" customWidth="1"/>
    <col min="6" max="6" width="16" customWidth="1"/>
    <col min="7" max="7" width="36" customWidth="1"/>
    <col min="8" max="8" width="30" customWidth="1"/>
    <col min="9" max="26" width="8.625" customWidth="1"/>
  </cols>
  <sheetData>
    <row r="1" spans="1:8" ht="36" customHeight="1">
      <c r="A1" s="57" t="s">
        <v>0</v>
      </c>
      <c r="B1" s="58"/>
      <c r="C1" s="58"/>
      <c r="D1" s="58"/>
      <c r="E1" s="58"/>
      <c r="F1" s="58"/>
      <c r="G1" s="58"/>
      <c r="H1" s="58"/>
    </row>
    <row r="2" spans="1:8" ht="31.5" customHeight="1">
      <c r="A2" s="59" t="s">
        <v>1</v>
      </c>
      <c r="B2" s="58"/>
      <c r="C2" s="58"/>
      <c r="D2" s="58"/>
      <c r="E2" s="58"/>
      <c r="F2" s="58"/>
      <c r="G2" s="58"/>
      <c r="H2" s="58"/>
    </row>
    <row r="3" spans="1:8">
      <c r="A3" s="1"/>
      <c r="B3" s="1"/>
      <c r="C3" s="1"/>
      <c r="D3" s="1"/>
      <c r="E3" s="1"/>
      <c r="F3" s="1"/>
      <c r="G3" s="1"/>
      <c r="H3" s="1"/>
    </row>
    <row r="4" spans="1:8" ht="33.75" customHeight="1">
      <c r="A4" s="2" t="s">
        <v>2</v>
      </c>
      <c r="B4" s="3" t="s">
        <v>3</v>
      </c>
      <c r="C4" s="4"/>
      <c r="D4" s="5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spans="1:8">
      <c r="A5" s="8" t="s">
        <v>9</v>
      </c>
      <c r="B5" s="1">
        <f>B6+B9+B11</f>
        <v>77</v>
      </c>
      <c r="C5" s="1"/>
      <c r="D5" s="1" t="s">
        <v>10</v>
      </c>
      <c r="E5" s="1">
        <f>COUNTIF('Danh sách máy'!$D$5:$D$29,D5)</f>
        <v>2</v>
      </c>
      <c r="F5" s="1" t="s">
        <v>11</v>
      </c>
      <c r="G5" s="1" t="s">
        <v>12</v>
      </c>
      <c r="H5" s="10" t="s">
        <v>13</v>
      </c>
    </row>
    <row r="6" spans="1:8">
      <c r="A6" s="8" t="s">
        <v>14</v>
      </c>
      <c r="B6" s="1">
        <f>B7+B8</f>
        <v>51</v>
      </c>
      <c r="C6" s="1"/>
      <c r="D6" s="1" t="s">
        <v>15</v>
      </c>
      <c r="E6" s="1">
        <f>COUNTIF('Danh sách máy'!$D$5:$D$29,D6)</f>
        <v>1</v>
      </c>
      <c r="F6" s="1" t="s">
        <v>11</v>
      </c>
      <c r="G6" s="1" t="s">
        <v>16</v>
      </c>
      <c r="H6" s="10" t="s">
        <v>13</v>
      </c>
    </row>
    <row r="7" spans="1:8">
      <c r="A7" s="8" t="s">
        <v>17</v>
      </c>
      <c r="B7" s="1">
        <f>COUNTA('Danh sách máy'!B5:B29)</f>
        <v>25</v>
      </c>
      <c r="C7" s="1"/>
      <c r="D7" s="1" t="s">
        <v>18</v>
      </c>
      <c r="E7" s="1">
        <f>COUNTIF('Danh sách máy'!$D$5:$D$29,D7)</f>
        <v>2</v>
      </c>
      <c r="F7" s="1" t="s">
        <v>11</v>
      </c>
      <c r="G7" s="1" t="s">
        <v>19</v>
      </c>
      <c r="H7" s="10" t="s">
        <v>13</v>
      </c>
    </row>
    <row r="8" spans="1:8">
      <c r="A8" s="8" t="s">
        <v>20</v>
      </c>
      <c r="B8" s="1">
        <f>COUNTA('Đối chiếu large_machine'!B5:B30)</f>
        <v>26</v>
      </c>
      <c r="C8" s="1"/>
      <c r="D8" s="1" t="s">
        <v>21</v>
      </c>
      <c r="E8" s="1">
        <f>COUNTIF('Danh sách máy'!$D$5:$D$29,D8)</f>
        <v>5</v>
      </c>
      <c r="F8" s="1" t="s">
        <v>22</v>
      </c>
      <c r="G8" s="1" t="s">
        <v>23</v>
      </c>
      <c r="H8" s="10" t="s">
        <v>13</v>
      </c>
    </row>
    <row r="9" spans="1:8">
      <c r="A9" s="8" t="s">
        <v>24</v>
      </c>
      <c r="B9" s="1">
        <f>COUNTA('Ngoài phạm vi ZPM'!B5:B27)</f>
        <v>23</v>
      </c>
      <c r="C9" s="1"/>
      <c r="D9" s="1" t="s">
        <v>25</v>
      </c>
      <c r="E9" s="1">
        <f>COUNTIF('Danh sách máy'!$D$5:$D$29,D9)</f>
        <v>3</v>
      </c>
      <c r="F9" s="1" t="s">
        <v>22</v>
      </c>
      <c r="G9" s="1" t="s">
        <v>26</v>
      </c>
      <c r="H9" s="10" t="s">
        <v>13</v>
      </c>
    </row>
    <row r="10" spans="1:8">
      <c r="A10" s="8" t="s">
        <v>27</v>
      </c>
      <c r="B10" s="15">
        <f>B8/B6</f>
        <v>0.50980392156862742</v>
      </c>
      <c r="C10" s="1"/>
      <c r="D10" s="1" t="s">
        <v>28</v>
      </c>
      <c r="E10" s="1">
        <f>COUNTIF('Danh sách máy'!$D$5:$D$29,D10)</f>
        <v>4</v>
      </c>
      <c r="F10" s="1" t="s">
        <v>22</v>
      </c>
      <c r="G10" s="1" t="s">
        <v>29</v>
      </c>
      <c r="H10" s="10" t="s">
        <v>13</v>
      </c>
    </row>
    <row r="11" spans="1:8">
      <c r="A11" s="8" t="s">
        <v>30</v>
      </c>
      <c r="B11" s="1">
        <v>3</v>
      </c>
      <c r="C11" s="1"/>
      <c r="D11" s="1" t="s">
        <v>31</v>
      </c>
      <c r="E11" s="1">
        <f>COUNTIF('Danh sách máy'!$D$5:$D$29,D11)</f>
        <v>5</v>
      </c>
      <c r="F11" s="1" t="s">
        <v>22</v>
      </c>
      <c r="G11" s="1" t="s">
        <v>32</v>
      </c>
      <c r="H11" s="10" t="s">
        <v>13</v>
      </c>
    </row>
    <row r="12" spans="1:8">
      <c r="A12" s="8"/>
      <c r="B12" s="1"/>
      <c r="C12" s="1"/>
      <c r="D12" s="1" t="s">
        <v>33</v>
      </c>
      <c r="E12" s="1">
        <f>COUNTIF('Danh sách máy'!$D$5:$D$29,D12)</f>
        <v>1</v>
      </c>
      <c r="F12" s="1" t="s">
        <v>22</v>
      </c>
      <c r="G12" s="1" t="s">
        <v>34</v>
      </c>
      <c r="H12" s="10" t="s">
        <v>13</v>
      </c>
    </row>
    <row r="13" spans="1:8">
      <c r="A13" s="8"/>
      <c r="B13" s="1"/>
      <c r="C13" s="1"/>
      <c r="D13" s="1"/>
      <c r="E13" s="1"/>
      <c r="F13" s="1"/>
      <c r="G13" s="1"/>
      <c r="H13" s="10"/>
    </row>
    <row r="14" spans="1:8">
      <c r="A14" s="60" t="s">
        <v>35</v>
      </c>
      <c r="B14" s="58"/>
      <c r="C14" s="58"/>
      <c r="D14" s="58"/>
      <c r="E14" s="58"/>
      <c r="F14" s="58"/>
      <c r="G14" s="58"/>
      <c r="H14" s="61"/>
    </row>
    <row r="15" spans="1:8" ht="24" customHeight="1">
      <c r="A15" s="62" t="s">
        <v>36</v>
      </c>
      <c r="B15" s="58"/>
      <c r="C15" s="58"/>
      <c r="D15" s="58"/>
      <c r="E15" s="58"/>
      <c r="F15" s="58"/>
      <c r="G15" s="58"/>
      <c r="H15" s="61"/>
    </row>
    <row r="16" spans="1:8" ht="24" customHeight="1">
      <c r="A16" s="63"/>
      <c r="B16" s="58"/>
      <c r="C16" s="58"/>
      <c r="D16" s="58"/>
      <c r="E16" s="58"/>
      <c r="F16" s="58"/>
      <c r="G16" s="58"/>
      <c r="H16" s="61"/>
    </row>
    <row r="17" spans="1:8" ht="24" customHeight="1">
      <c r="A17" s="63"/>
      <c r="B17" s="58"/>
      <c r="C17" s="58"/>
      <c r="D17" s="58"/>
      <c r="E17" s="58"/>
      <c r="F17" s="58"/>
      <c r="G17" s="58"/>
      <c r="H17" s="61"/>
    </row>
    <row r="18" spans="1:8" ht="24" customHeight="1">
      <c r="A18" s="63"/>
      <c r="B18" s="58"/>
      <c r="C18" s="58"/>
      <c r="D18" s="58"/>
      <c r="E18" s="58"/>
      <c r="F18" s="58"/>
      <c r="G18" s="58"/>
      <c r="H18" s="61"/>
    </row>
    <row r="19" spans="1:8" ht="24" customHeight="1">
      <c r="A19" s="64"/>
      <c r="B19" s="65"/>
      <c r="C19" s="65"/>
      <c r="D19" s="65"/>
      <c r="E19" s="65"/>
      <c r="F19" s="65"/>
      <c r="G19" s="65"/>
      <c r="H19" s="66"/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14:H14"/>
    <mergeCell ref="A15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625" defaultRowHeight="14.25"/>
  <cols>
    <col min="1" max="1" width="6" customWidth="1"/>
    <col min="2" max="2" width="34" customWidth="1"/>
    <col min="3" max="3" width="38" customWidth="1"/>
    <col min="4" max="4" width="20" customWidth="1"/>
    <col min="5" max="5" width="10" customWidth="1"/>
    <col min="6" max="6" width="30" customWidth="1"/>
    <col min="7" max="7" width="38" customWidth="1"/>
    <col min="8" max="8" width="29" customWidth="1"/>
    <col min="9" max="9" width="54" customWidth="1"/>
    <col min="10" max="10" width="58" customWidth="1"/>
    <col min="11" max="12" width="46" customWidth="1"/>
    <col min="13" max="13" width="12" customWidth="1"/>
    <col min="14" max="14" width="46" customWidth="1"/>
    <col min="15" max="26" width="8.625" customWidth="1"/>
  </cols>
  <sheetData>
    <row r="1" spans="1:26" ht="36" customHeight="1">
      <c r="A1" s="57" t="s">
        <v>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26" ht="31.5" customHeight="1">
      <c r="A2" s="59" t="s">
        <v>38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6" ht="33.75" customHeight="1">
      <c r="A4" s="9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1" t="s">
        <v>50</v>
      </c>
      <c r="M4" s="11" t="s">
        <v>51</v>
      </c>
      <c r="N4" s="12" t="s">
        <v>52</v>
      </c>
    </row>
    <row r="5" spans="1:26" s="28" customFormat="1" ht="51">
      <c r="A5" s="31">
        <v>1</v>
      </c>
      <c r="B5" s="32" t="s">
        <v>53</v>
      </c>
      <c r="C5" s="32" t="s">
        <v>54</v>
      </c>
      <c r="D5" s="31" t="s">
        <v>10</v>
      </c>
      <c r="E5" s="31">
        <v>19065</v>
      </c>
      <c r="F5" s="32" t="s">
        <v>55</v>
      </c>
      <c r="G5" s="32" t="s">
        <v>56</v>
      </c>
      <c r="H5" s="32" t="s">
        <v>57</v>
      </c>
      <c r="I5" s="32" t="s">
        <v>58</v>
      </c>
      <c r="J5" s="32" t="s">
        <v>59</v>
      </c>
      <c r="K5" s="32" t="s">
        <v>60</v>
      </c>
      <c r="L5" s="32" t="s">
        <v>61</v>
      </c>
      <c r="M5" s="31" t="s">
        <v>62</v>
      </c>
      <c r="N5" s="32" t="s">
        <v>63</v>
      </c>
    </row>
    <row r="6" spans="1:26" s="28" customFormat="1" ht="51">
      <c r="A6" s="31">
        <v>2</v>
      </c>
      <c r="B6" s="32" t="s">
        <v>64</v>
      </c>
      <c r="C6" s="32" t="s">
        <v>65</v>
      </c>
      <c r="D6" s="31" t="s">
        <v>10</v>
      </c>
      <c r="E6" s="31">
        <v>19077</v>
      </c>
      <c r="F6" s="32" t="s">
        <v>66</v>
      </c>
      <c r="G6" s="32" t="s">
        <v>67</v>
      </c>
      <c r="H6" s="32" t="s">
        <v>57</v>
      </c>
      <c r="I6" s="32" t="s">
        <v>68</v>
      </c>
      <c r="J6" s="32" t="s">
        <v>69</v>
      </c>
      <c r="K6" s="32" t="s">
        <v>70</v>
      </c>
      <c r="L6" s="32" t="s">
        <v>71</v>
      </c>
      <c r="M6" s="31" t="s">
        <v>62</v>
      </c>
      <c r="N6" s="32" t="s">
        <v>63</v>
      </c>
    </row>
    <row r="7" spans="1:26" s="41" customFormat="1" ht="51">
      <c r="A7" s="39">
        <v>3</v>
      </c>
      <c r="B7" s="40" t="s">
        <v>72</v>
      </c>
      <c r="C7" s="40" t="s">
        <v>73</v>
      </c>
      <c r="D7" s="39" t="s">
        <v>15</v>
      </c>
      <c r="E7" s="39">
        <v>19069</v>
      </c>
      <c r="F7" s="40" t="s">
        <v>74</v>
      </c>
      <c r="G7" s="40" t="s">
        <v>75</v>
      </c>
      <c r="H7" s="40" t="s">
        <v>57</v>
      </c>
      <c r="I7" s="40" t="s">
        <v>76</v>
      </c>
      <c r="J7" s="40" t="s">
        <v>77</v>
      </c>
      <c r="K7" s="40" t="s">
        <v>78</v>
      </c>
      <c r="L7" s="40" t="s">
        <v>79</v>
      </c>
      <c r="M7" s="39" t="s">
        <v>62</v>
      </c>
      <c r="N7" s="40" t="s">
        <v>63</v>
      </c>
    </row>
    <row r="8" spans="1:26" ht="51">
      <c r="A8" s="29">
        <v>4</v>
      </c>
      <c r="B8" s="30" t="s">
        <v>80</v>
      </c>
      <c r="C8" s="30" t="s">
        <v>81</v>
      </c>
      <c r="D8" s="29" t="s">
        <v>18</v>
      </c>
      <c r="E8" s="29">
        <v>19051</v>
      </c>
      <c r="F8" s="30" t="s">
        <v>82</v>
      </c>
      <c r="G8" s="30" t="s">
        <v>83</v>
      </c>
      <c r="H8" s="30" t="s">
        <v>57</v>
      </c>
      <c r="I8" s="30" t="s">
        <v>84</v>
      </c>
      <c r="J8" s="30" t="s">
        <v>85</v>
      </c>
      <c r="K8" s="30" t="s">
        <v>86</v>
      </c>
      <c r="L8" s="30" t="s">
        <v>87</v>
      </c>
      <c r="M8" s="29" t="s">
        <v>62</v>
      </c>
      <c r="N8" s="30" t="s">
        <v>63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51">
      <c r="A9" s="29">
        <v>5</v>
      </c>
      <c r="B9" s="30" t="s">
        <v>88</v>
      </c>
      <c r="C9" s="30" t="s">
        <v>89</v>
      </c>
      <c r="D9" s="29" t="s">
        <v>21</v>
      </c>
      <c r="E9" s="29">
        <v>19041</v>
      </c>
      <c r="F9" s="30" t="s">
        <v>90</v>
      </c>
      <c r="G9" s="30" t="s">
        <v>91</v>
      </c>
      <c r="H9" s="30" t="s">
        <v>57</v>
      </c>
      <c r="I9" s="30" t="s">
        <v>92</v>
      </c>
      <c r="J9" s="30" t="s">
        <v>93</v>
      </c>
      <c r="K9" s="30" t="s">
        <v>94</v>
      </c>
      <c r="L9" s="30" t="s">
        <v>95</v>
      </c>
      <c r="M9" s="29" t="s">
        <v>62</v>
      </c>
      <c r="N9" s="30" t="s">
        <v>63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51">
      <c r="A10" s="29">
        <v>6</v>
      </c>
      <c r="B10" s="30" t="s">
        <v>96</v>
      </c>
      <c r="C10" s="30" t="s">
        <v>97</v>
      </c>
      <c r="D10" s="29" t="s">
        <v>21</v>
      </c>
      <c r="E10" s="29">
        <v>19058</v>
      </c>
      <c r="F10" s="30" t="s">
        <v>98</v>
      </c>
      <c r="G10" s="30" t="s">
        <v>99</v>
      </c>
      <c r="H10" s="30" t="s">
        <v>57</v>
      </c>
      <c r="I10" s="30" t="s">
        <v>100</v>
      </c>
      <c r="J10" s="30" t="s">
        <v>101</v>
      </c>
      <c r="K10" s="30" t="s">
        <v>102</v>
      </c>
      <c r="L10" s="30" t="s">
        <v>103</v>
      </c>
      <c r="M10" s="29" t="s">
        <v>62</v>
      </c>
      <c r="N10" s="30" t="s">
        <v>63</v>
      </c>
    </row>
    <row r="11" spans="1:26" ht="63.75">
      <c r="A11" s="31">
        <v>7</v>
      </c>
      <c r="B11" s="32" t="s">
        <v>104</v>
      </c>
      <c r="C11" s="32" t="s">
        <v>105</v>
      </c>
      <c r="D11" s="31" t="s">
        <v>21</v>
      </c>
      <c r="E11" s="31">
        <v>19062</v>
      </c>
      <c r="F11" s="32" t="s">
        <v>106</v>
      </c>
      <c r="G11" s="32" t="s">
        <v>107</v>
      </c>
      <c r="H11" s="32" t="s">
        <v>57</v>
      </c>
      <c r="I11" s="32" t="s">
        <v>108</v>
      </c>
      <c r="J11" s="32" t="s">
        <v>109</v>
      </c>
      <c r="K11" s="32" t="s">
        <v>110</v>
      </c>
      <c r="L11" s="32" t="s">
        <v>111</v>
      </c>
      <c r="M11" s="31" t="s">
        <v>62</v>
      </c>
      <c r="N11" s="32" t="s">
        <v>112</v>
      </c>
    </row>
    <row r="12" spans="1:26" s="28" customFormat="1" ht="51">
      <c r="A12" s="29">
        <v>8</v>
      </c>
      <c r="B12" s="30" t="s">
        <v>113</v>
      </c>
      <c r="C12" s="30" t="s">
        <v>114</v>
      </c>
      <c r="D12" s="29" t="s">
        <v>25</v>
      </c>
      <c r="E12" s="29">
        <v>19055</v>
      </c>
      <c r="F12" s="30" t="s">
        <v>115</v>
      </c>
      <c r="G12" s="30" t="s">
        <v>116</v>
      </c>
      <c r="H12" s="30" t="s">
        <v>57</v>
      </c>
      <c r="I12" s="30" t="s">
        <v>117</v>
      </c>
      <c r="J12" s="30" t="s">
        <v>118</v>
      </c>
      <c r="K12" s="30" t="s">
        <v>119</v>
      </c>
      <c r="L12" s="30" t="s">
        <v>120</v>
      </c>
      <c r="M12" s="29" t="s">
        <v>62</v>
      </c>
      <c r="N12" s="30" t="s">
        <v>63</v>
      </c>
    </row>
    <row r="13" spans="1:26" ht="51">
      <c r="A13" s="29">
        <v>9</v>
      </c>
      <c r="B13" s="30" t="s">
        <v>121</v>
      </c>
      <c r="C13" s="30" t="s">
        <v>122</v>
      </c>
      <c r="D13" s="29" t="s">
        <v>25</v>
      </c>
      <c r="E13" s="29">
        <v>19081</v>
      </c>
      <c r="F13" s="30" t="s">
        <v>123</v>
      </c>
      <c r="G13" s="30" t="s">
        <v>124</v>
      </c>
      <c r="H13" s="30" t="s">
        <v>57</v>
      </c>
      <c r="I13" s="30" t="s">
        <v>125</v>
      </c>
      <c r="J13" s="30" t="s">
        <v>126</v>
      </c>
      <c r="K13" s="30" t="s">
        <v>127</v>
      </c>
      <c r="L13" s="30" t="s">
        <v>128</v>
      </c>
      <c r="M13" s="29" t="s">
        <v>62</v>
      </c>
      <c r="N13" s="30" t="s">
        <v>63</v>
      </c>
    </row>
    <row r="14" spans="1:26" ht="51">
      <c r="A14" s="29">
        <v>10</v>
      </c>
      <c r="B14" s="30" t="s">
        <v>129</v>
      </c>
      <c r="C14" s="30" t="s">
        <v>130</v>
      </c>
      <c r="D14" s="29" t="s">
        <v>28</v>
      </c>
      <c r="E14" s="29">
        <v>19013</v>
      </c>
      <c r="F14" s="30" t="s">
        <v>131</v>
      </c>
      <c r="G14" s="30" t="s">
        <v>132</v>
      </c>
      <c r="H14" s="30" t="s">
        <v>57</v>
      </c>
      <c r="I14" s="30" t="s">
        <v>133</v>
      </c>
      <c r="J14" s="30" t="s">
        <v>134</v>
      </c>
      <c r="K14" s="30" t="s">
        <v>135</v>
      </c>
      <c r="L14" s="30" t="s">
        <v>136</v>
      </c>
      <c r="M14" s="29" t="s">
        <v>62</v>
      </c>
      <c r="N14" s="30" t="s">
        <v>63</v>
      </c>
    </row>
    <row r="15" spans="1:26" ht="51">
      <c r="A15" s="29">
        <v>11</v>
      </c>
      <c r="B15" s="30" t="s">
        <v>137</v>
      </c>
      <c r="C15" s="30" t="s">
        <v>138</v>
      </c>
      <c r="D15" s="29" t="s">
        <v>28</v>
      </c>
      <c r="E15" s="29">
        <v>19014</v>
      </c>
      <c r="F15" s="30" t="s">
        <v>139</v>
      </c>
      <c r="G15" s="30" t="s">
        <v>140</v>
      </c>
      <c r="H15" s="30" t="s">
        <v>57</v>
      </c>
      <c r="I15" s="30" t="s">
        <v>141</v>
      </c>
      <c r="J15" s="30" t="s">
        <v>142</v>
      </c>
      <c r="K15" s="30" t="s">
        <v>143</v>
      </c>
      <c r="L15" s="30" t="s">
        <v>144</v>
      </c>
      <c r="M15" s="29" t="s">
        <v>62</v>
      </c>
      <c r="N15" s="30" t="s">
        <v>63</v>
      </c>
    </row>
    <row r="16" spans="1:26" ht="51">
      <c r="A16" s="29">
        <v>12</v>
      </c>
      <c r="B16" s="30" t="s">
        <v>145</v>
      </c>
      <c r="C16" s="30" t="s">
        <v>146</v>
      </c>
      <c r="D16" s="29" t="s">
        <v>28</v>
      </c>
      <c r="E16" s="29">
        <v>19060</v>
      </c>
      <c r="F16" s="30" t="s">
        <v>147</v>
      </c>
      <c r="G16" s="30" t="s">
        <v>148</v>
      </c>
      <c r="H16" s="30" t="s">
        <v>57</v>
      </c>
      <c r="I16" s="30" t="s">
        <v>149</v>
      </c>
      <c r="J16" s="30" t="s">
        <v>150</v>
      </c>
      <c r="K16" s="30" t="s">
        <v>151</v>
      </c>
      <c r="L16" s="30" t="s">
        <v>152</v>
      </c>
      <c r="M16" s="29" t="s">
        <v>62</v>
      </c>
      <c r="N16" s="30" t="s">
        <v>63</v>
      </c>
    </row>
    <row r="17" spans="1:26" ht="51">
      <c r="A17" s="29">
        <v>13</v>
      </c>
      <c r="B17" s="30" t="s">
        <v>153</v>
      </c>
      <c r="C17" s="30" t="s">
        <v>154</v>
      </c>
      <c r="D17" s="29" t="s">
        <v>28</v>
      </c>
      <c r="E17" s="29">
        <v>19003</v>
      </c>
      <c r="F17" s="30" t="s">
        <v>155</v>
      </c>
      <c r="G17" s="30" t="s">
        <v>156</v>
      </c>
      <c r="H17" s="30" t="s">
        <v>57</v>
      </c>
      <c r="I17" s="30" t="s">
        <v>157</v>
      </c>
      <c r="J17" s="30" t="s">
        <v>158</v>
      </c>
      <c r="K17" s="30" t="s">
        <v>159</v>
      </c>
      <c r="L17" s="30" t="s">
        <v>160</v>
      </c>
      <c r="M17" s="29" t="s">
        <v>62</v>
      </c>
      <c r="N17" s="30" t="s">
        <v>63</v>
      </c>
    </row>
    <row r="18" spans="1:26" ht="51">
      <c r="A18" s="29">
        <v>14</v>
      </c>
      <c r="B18" s="30" t="s">
        <v>161</v>
      </c>
      <c r="C18" s="30" t="s">
        <v>162</v>
      </c>
      <c r="D18" s="29" t="s">
        <v>31</v>
      </c>
      <c r="E18" s="29">
        <v>19015</v>
      </c>
      <c r="F18" s="30" t="s">
        <v>163</v>
      </c>
      <c r="G18" s="30" t="s">
        <v>164</v>
      </c>
      <c r="H18" s="30" t="s">
        <v>57</v>
      </c>
      <c r="I18" s="30" t="s">
        <v>165</v>
      </c>
      <c r="J18" s="30" t="s">
        <v>166</v>
      </c>
      <c r="K18" s="30" t="s">
        <v>167</v>
      </c>
      <c r="L18" s="30" t="s">
        <v>168</v>
      </c>
      <c r="M18" s="29" t="s">
        <v>62</v>
      </c>
      <c r="N18" s="30" t="s">
        <v>63</v>
      </c>
    </row>
    <row r="19" spans="1:26" ht="51">
      <c r="A19" s="29">
        <v>15</v>
      </c>
      <c r="B19" s="30" t="s">
        <v>169</v>
      </c>
      <c r="C19" s="30" t="s">
        <v>170</v>
      </c>
      <c r="D19" s="29" t="s">
        <v>31</v>
      </c>
      <c r="E19" s="29">
        <v>19038</v>
      </c>
      <c r="F19" s="30" t="s">
        <v>171</v>
      </c>
      <c r="G19" s="30" t="s">
        <v>172</v>
      </c>
      <c r="H19" s="30" t="s">
        <v>57</v>
      </c>
      <c r="I19" s="30" t="s">
        <v>173</v>
      </c>
      <c r="J19" s="30" t="s">
        <v>174</v>
      </c>
      <c r="K19" s="30" t="s">
        <v>175</v>
      </c>
      <c r="L19" s="30" t="s">
        <v>176</v>
      </c>
      <c r="M19" s="29" t="s">
        <v>62</v>
      </c>
      <c r="N19" s="30" t="s">
        <v>63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63.75">
      <c r="A20" s="29">
        <v>16</v>
      </c>
      <c r="B20" s="30" t="s">
        <v>177</v>
      </c>
      <c r="C20" s="30" t="s">
        <v>178</v>
      </c>
      <c r="D20" s="29" t="s">
        <v>31</v>
      </c>
      <c r="E20" s="29">
        <v>19054</v>
      </c>
      <c r="F20" s="30" t="s">
        <v>179</v>
      </c>
      <c r="G20" s="30" t="s">
        <v>180</v>
      </c>
      <c r="H20" s="30" t="s">
        <v>57</v>
      </c>
      <c r="I20" s="30" t="s">
        <v>181</v>
      </c>
      <c r="J20" s="30" t="s">
        <v>182</v>
      </c>
      <c r="K20" s="30" t="s">
        <v>183</v>
      </c>
      <c r="L20" s="30" t="s">
        <v>184</v>
      </c>
      <c r="M20" s="29" t="s">
        <v>62</v>
      </c>
      <c r="N20" s="30" t="s">
        <v>63</v>
      </c>
    </row>
    <row r="21" spans="1:26" ht="51">
      <c r="A21" s="29">
        <v>17</v>
      </c>
      <c r="B21" s="30" t="s">
        <v>185</v>
      </c>
      <c r="C21" s="30" t="s">
        <v>186</v>
      </c>
      <c r="D21" s="29" t="s">
        <v>31</v>
      </c>
      <c r="E21" s="29">
        <v>19057</v>
      </c>
      <c r="F21" s="30" t="s">
        <v>187</v>
      </c>
      <c r="G21" s="30" t="s">
        <v>188</v>
      </c>
      <c r="H21" s="30" t="s">
        <v>57</v>
      </c>
      <c r="I21" s="30" t="s">
        <v>189</v>
      </c>
      <c r="J21" s="30" t="s">
        <v>190</v>
      </c>
      <c r="K21" s="30" t="s">
        <v>191</v>
      </c>
      <c r="L21" s="30" t="s">
        <v>192</v>
      </c>
      <c r="M21" s="29" t="s">
        <v>62</v>
      </c>
      <c r="N21" s="30" t="s">
        <v>63</v>
      </c>
    </row>
    <row r="22" spans="1:26" ht="15.75" customHeight="1">
      <c r="A22" s="29">
        <v>18</v>
      </c>
      <c r="B22" s="30" t="s">
        <v>193</v>
      </c>
      <c r="C22" s="30" t="s">
        <v>194</v>
      </c>
      <c r="D22" s="29" t="s">
        <v>31</v>
      </c>
      <c r="E22" s="29">
        <v>19078</v>
      </c>
      <c r="F22" s="30" t="s">
        <v>195</v>
      </c>
      <c r="G22" s="30" t="s">
        <v>196</v>
      </c>
      <c r="H22" s="30" t="s">
        <v>57</v>
      </c>
      <c r="I22" s="30" t="s">
        <v>197</v>
      </c>
      <c r="J22" s="30" t="s">
        <v>198</v>
      </c>
      <c r="K22" s="30" t="s">
        <v>199</v>
      </c>
      <c r="L22" s="30" t="s">
        <v>200</v>
      </c>
      <c r="M22" s="29" t="s">
        <v>62</v>
      </c>
      <c r="N22" s="30" t="s">
        <v>63</v>
      </c>
    </row>
    <row r="23" spans="1:26" ht="15.75" customHeight="1">
      <c r="A23" s="29">
        <v>19</v>
      </c>
      <c r="B23" s="30" t="s">
        <v>201</v>
      </c>
      <c r="C23" s="30" t="s">
        <v>202</v>
      </c>
      <c r="D23" s="29" t="s">
        <v>33</v>
      </c>
      <c r="E23" s="29">
        <v>19059</v>
      </c>
      <c r="F23" s="30" t="s">
        <v>203</v>
      </c>
      <c r="G23" s="30" t="s">
        <v>204</v>
      </c>
      <c r="H23" s="30" t="s">
        <v>57</v>
      </c>
      <c r="I23" s="30" t="s">
        <v>205</v>
      </c>
      <c r="J23" s="30" t="s">
        <v>206</v>
      </c>
      <c r="K23" s="30" t="s">
        <v>207</v>
      </c>
      <c r="L23" s="30" t="s">
        <v>208</v>
      </c>
      <c r="M23" s="29" t="s">
        <v>62</v>
      </c>
      <c r="N23" s="30" t="s">
        <v>63</v>
      </c>
    </row>
    <row r="24" spans="1:26" ht="15.75" customHeight="1">
      <c r="A24" s="29">
        <v>20</v>
      </c>
      <c r="B24" s="30" t="s">
        <v>209</v>
      </c>
      <c r="C24" s="30" t="s">
        <v>210</v>
      </c>
      <c r="D24" s="29" t="s">
        <v>211</v>
      </c>
      <c r="E24" s="29">
        <v>19501</v>
      </c>
      <c r="F24" s="30" t="s">
        <v>212</v>
      </c>
      <c r="G24" s="30" t="s">
        <v>213</v>
      </c>
      <c r="H24" s="30" t="s">
        <v>57</v>
      </c>
      <c r="I24" s="30" t="s">
        <v>214</v>
      </c>
      <c r="J24" s="30" t="s">
        <v>215</v>
      </c>
      <c r="K24" s="30" t="s">
        <v>216</v>
      </c>
      <c r="L24" s="30"/>
      <c r="M24" s="29" t="s">
        <v>217</v>
      </c>
      <c r="N24" s="30" t="s">
        <v>63</v>
      </c>
    </row>
    <row r="25" spans="1:26" ht="15.75" customHeight="1">
      <c r="A25" s="33">
        <v>21</v>
      </c>
      <c r="B25" s="34" t="s">
        <v>218</v>
      </c>
      <c r="C25" s="34" t="s">
        <v>219</v>
      </c>
      <c r="D25" s="33" t="s">
        <v>21</v>
      </c>
      <c r="E25" s="33">
        <v>19029</v>
      </c>
      <c r="F25" s="34" t="s">
        <v>220</v>
      </c>
      <c r="G25" s="34" t="s">
        <v>221</v>
      </c>
      <c r="H25" s="34" t="s">
        <v>222</v>
      </c>
      <c r="I25" s="34" t="s">
        <v>223</v>
      </c>
      <c r="J25" s="34" t="s">
        <v>224</v>
      </c>
      <c r="K25" s="34" t="s">
        <v>225</v>
      </c>
      <c r="L25" s="34" t="s">
        <v>226</v>
      </c>
      <c r="M25" s="33" t="s">
        <v>227</v>
      </c>
      <c r="N25" s="34" t="s">
        <v>228</v>
      </c>
    </row>
    <row r="26" spans="1:26" ht="15.75" customHeight="1">
      <c r="A26" s="33">
        <v>22</v>
      </c>
      <c r="B26" s="34" t="s">
        <v>229</v>
      </c>
      <c r="C26" s="34" t="s">
        <v>230</v>
      </c>
      <c r="D26" s="33" t="s">
        <v>18</v>
      </c>
      <c r="E26" s="33">
        <v>19021</v>
      </c>
      <c r="F26" s="34" t="s">
        <v>231</v>
      </c>
      <c r="G26" s="34" t="s">
        <v>232</v>
      </c>
      <c r="H26" s="34" t="s">
        <v>233</v>
      </c>
      <c r="I26" s="34" t="s">
        <v>234</v>
      </c>
      <c r="J26" s="34" t="s">
        <v>235</v>
      </c>
      <c r="K26" s="34" t="s">
        <v>236</v>
      </c>
      <c r="L26" s="34" t="s">
        <v>237</v>
      </c>
      <c r="M26" s="33" t="s">
        <v>227</v>
      </c>
      <c r="N26" s="34" t="s">
        <v>238</v>
      </c>
    </row>
    <row r="27" spans="1:26" ht="15.75" customHeight="1">
      <c r="A27" s="33">
        <v>23</v>
      </c>
      <c r="B27" s="34" t="s">
        <v>239</v>
      </c>
      <c r="C27" s="34" t="s">
        <v>240</v>
      </c>
      <c r="D27" s="33" t="s">
        <v>21</v>
      </c>
      <c r="E27" s="33">
        <v>19017</v>
      </c>
      <c r="F27" s="34" t="s">
        <v>241</v>
      </c>
      <c r="G27" s="34" t="s">
        <v>242</v>
      </c>
      <c r="H27" s="34" t="s">
        <v>243</v>
      </c>
      <c r="I27" s="34" t="s">
        <v>244</v>
      </c>
      <c r="J27" s="34" t="s">
        <v>245</v>
      </c>
      <c r="K27" s="34" t="s">
        <v>246</v>
      </c>
      <c r="L27" s="34" t="s">
        <v>247</v>
      </c>
      <c r="M27" s="33" t="s">
        <v>227</v>
      </c>
      <c r="N27" s="34" t="s">
        <v>248</v>
      </c>
    </row>
    <row r="28" spans="1:26" ht="15.75" customHeight="1">
      <c r="A28" s="33">
        <v>24</v>
      </c>
      <c r="B28" s="34" t="s">
        <v>249</v>
      </c>
      <c r="C28" s="34" t="s">
        <v>250</v>
      </c>
      <c r="D28" s="33" t="s">
        <v>25</v>
      </c>
      <c r="E28" s="33">
        <v>19040</v>
      </c>
      <c r="F28" s="34" t="s">
        <v>251</v>
      </c>
      <c r="G28" s="34" t="s">
        <v>252</v>
      </c>
      <c r="H28" s="34" t="s">
        <v>233</v>
      </c>
      <c r="I28" s="34" t="s">
        <v>253</v>
      </c>
      <c r="J28" s="34" t="s">
        <v>254</v>
      </c>
      <c r="K28" s="34" t="s">
        <v>255</v>
      </c>
      <c r="L28" s="34" t="s">
        <v>256</v>
      </c>
      <c r="M28" s="33" t="s">
        <v>227</v>
      </c>
      <c r="N28" s="34" t="s">
        <v>257</v>
      </c>
    </row>
    <row r="29" spans="1:26" ht="15.75" customHeight="1">
      <c r="A29" s="35">
        <v>25</v>
      </c>
      <c r="B29" s="35" t="s">
        <v>258</v>
      </c>
      <c r="C29" s="35" t="s">
        <v>259</v>
      </c>
      <c r="D29" s="35" t="s">
        <v>260</v>
      </c>
      <c r="E29" s="35">
        <v>19072</v>
      </c>
      <c r="F29" s="35" t="s">
        <v>261</v>
      </c>
      <c r="G29" s="35" t="s">
        <v>262</v>
      </c>
      <c r="H29" s="35" t="s">
        <v>233</v>
      </c>
      <c r="I29" s="35" t="s">
        <v>263</v>
      </c>
      <c r="J29" s="35" t="s">
        <v>264</v>
      </c>
      <c r="K29" s="35" t="s">
        <v>265</v>
      </c>
      <c r="L29" s="35"/>
      <c r="M29" s="35" t="s">
        <v>227</v>
      </c>
      <c r="N29" s="35" t="s">
        <v>266</v>
      </c>
    </row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M5:M28">
    <cfRule type="containsText" dxfId="1" priority="1" operator="containsText" text="High">
      <formula>NOT(ISERROR(SEARCH(("High"),(M5))))</formula>
    </cfRule>
  </conditionalFormatting>
  <conditionalFormatting sqref="M5:M28">
    <cfRule type="containsText" dxfId="0" priority="2" operator="containsText" text="Medium">
      <formula>NOT(ISERROR(SEARCH(("Medium"),(M5))))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625" defaultRowHeight="14.25"/>
  <cols>
    <col min="1" max="1" width="6" customWidth="1"/>
    <col min="2" max="2" width="34" customWidth="1"/>
    <col min="3" max="3" width="16" customWidth="1"/>
    <col min="4" max="4" width="30" customWidth="1"/>
    <col min="5" max="5" width="65.75" customWidth="1"/>
    <col min="6" max="6" width="15" customWidth="1"/>
    <col min="7" max="7" width="16" customWidth="1"/>
    <col min="8" max="8" width="18" customWidth="1"/>
    <col min="9" max="9" width="40" customWidth="1"/>
    <col min="10" max="10" width="62" customWidth="1"/>
    <col min="11" max="26" width="8.625" customWidth="1"/>
  </cols>
  <sheetData>
    <row r="1" spans="1:26" ht="36" customHeight="1">
      <c r="A1" s="57" t="s">
        <v>267</v>
      </c>
      <c r="B1" s="58"/>
      <c r="C1" s="58"/>
      <c r="D1" s="58"/>
      <c r="E1" s="58"/>
      <c r="F1" s="58"/>
      <c r="G1" s="58"/>
      <c r="H1" s="58"/>
      <c r="I1" s="58"/>
      <c r="J1" s="58"/>
    </row>
    <row r="2" spans="1:26" ht="31.5" customHeight="1">
      <c r="A2" s="59" t="s">
        <v>268</v>
      </c>
      <c r="B2" s="58"/>
      <c r="C2" s="58"/>
      <c r="D2" s="58"/>
      <c r="E2" s="58"/>
      <c r="F2" s="58"/>
      <c r="G2" s="58"/>
      <c r="H2" s="58"/>
      <c r="I2" s="58"/>
      <c r="J2" s="58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</row>
    <row r="4" spans="1:26" ht="33.75" customHeight="1">
      <c r="A4" s="9" t="s">
        <v>39</v>
      </c>
      <c r="B4" s="11" t="s">
        <v>269</v>
      </c>
      <c r="C4" s="11" t="s">
        <v>270</v>
      </c>
      <c r="D4" s="11" t="s">
        <v>271</v>
      </c>
      <c r="E4" s="11" t="s">
        <v>272</v>
      </c>
      <c r="F4" s="11" t="s">
        <v>273</v>
      </c>
      <c r="G4" s="11" t="s">
        <v>274</v>
      </c>
      <c r="H4" s="11" t="s">
        <v>275</v>
      </c>
      <c r="I4" s="11" t="s">
        <v>276</v>
      </c>
      <c r="J4" s="12" t="s">
        <v>277</v>
      </c>
    </row>
    <row r="5" spans="1:26" ht="36" customHeight="1">
      <c r="A5" s="29">
        <v>1</v>
      </c>
      <c r="B5" s="30" t="s">
        <v>53</v>
      </c>
      <c r="C5" s="30" t="s">
        <v>10</v>
      </c>
      <c r="D5" s="30" t="s">
        <v>55</v>
      </c>
      <c r="E5" s="30" t="s">
        <v>278</v>
      </c>
      <c r="F5" s="30" t="s">
        <v>62</v>
      </c>
      <c r="G5" s="30" t="s">
        <v>279</v>
      </c>
      <c r="H5" s="30"/>
      <c r="I5" s="30" t="s">
        <v>280</v>
      </c>
      <c r="J5" s="30" t="s">
        <v>281</v>
      </c>
    </row>
    <row r="6" spans="1:26" ht="36" customHeight="1">
      <c r="A6" s="29">
        <v>2</v>
      </c>
      <c r="B6" s="30" t="s">
        <v>64</v>
      </c>
      <c r="C6" s="30" t="s">
        <v>10</v>
      </c>
      <c r="D6" s="30" t="s">
        <v>66</v>
      </c>
      <c r="E6" s="30" t="s">
        <v>282</v>
      </c>
      <c r="F6" s="30" t="s">
        <v>62</v>
      </c>
      <c r="G6" s="30" t="s">
        <v>279</v>
      </c>
      <c r="H6" s="30"/>
      <c r="I6" s="30" t="s">
        <v>280</v>
      </c>
      <c r="J6" s="30" t="s">
        <v>281</v>
      </c>
    </row>
    <row r="7" spans="1:26" ht="36" customHeight="1">
      <c r="A7" s="29">
        <v>3</v>
      </c>
      <c r="B7" s="30" t="s">
        <v>72</v>
      </c>
      <c r="C7" s="30" t="s">
        <v>15</v>
      </c>
      <c r="D7" s="30" t="s">
        <v>74</v>
      </c>
      <c r="E7" s="30" t="s">
        <v>283</v>
      </c>
      <c r="F7" s="30" t="s">
        <v>62</v>
      </c>
      <c r="G7" s="30" t="s">
        <v>279</v>
      </c>
      <c r="H7" s="30"/>
      <c r="I7" s="30" t="s">
        <v>280</v>
      </c>
      <c r="J7" s="30" t="s">
        <v>281</v>
      </c>
    </row>
    <row r="8" spans="1:26" ht="36" customHeight="1">
      <c r="A8" s="29">
        <v>4</v>
      </c>
      <c r="B8" s="30" t="s">
        <v>80</v>
      </c>
      <c r="C8" s="30" t="s">
        <v>18</v>
      </c>
      <c r="D8" s="30" t="s">
        <v>82</v>
      </c>
      <c r="E8" s="30" t="s">
        <v>284</v>
      </c>
      <c r="F8" s="30" t="s">
        <v>285</v>
      </c>
      <c r="G8" s="30" t="s">
        <v>279</v>
      </c>
      <c r="H8" s="30"/>
      <c r="I8" s="30" t="s">
        <v>286</v>
      </c>
      <c r="J8" s="30" t="s">
        <v>281</v>
      </c>
    </row>
    <row r="9" spans="1:26" ht="36" customHeight="1">
      <c r="A9" s="29">
        <v>5</v>
      </c>
      <c r="B9" s="30" t="s">
        <v>88</v>
      </c>
      <c r="C9" s="30" t="s">
        <v>21</v>
      </c>
      <c r="D9" s="30" t="s">
        <v>90</v>
      </c>
      <c r="E9" s="30" t="s">
        <v>287</v>
      </c>
      <c r="F9" s="30" t="s">
        <v>62</v>
      </c>
      <c r="G9" s="30" t="s">
        <v>279</v>
      </c>
      <c r="H9" s="30"/>
      <c r="I9" s="30" t="s">
        <v>280</v>
      </c>
      <c r="J9" s="30" t="s">
        <v>281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36" customHeight="1">
      <c r="A10" s="29">
        <v>6</v>
      </c>
      <c r="B10" s="30" t="s">
        <v>96</v>
      </c>
      <c r="C10" s="30" t="s">
        <v>21</v>
      </c>
      <c r="D10" s="30" t="s">
        <v>98</v>
      </c>
      <c r="E10" s="30" t="s">
        <v>288</v>
      </c>
      <c r="F10" s="30" t="s">
        <v>62</v>
      </c>
      <c r="G10" s="30" t="s">
        <v>279</v>
      </c>
      <c r="H10" s="30"/>
      <c r="I10" s="30" t="s">
        <v>280</v>
      </c>
      <c r="J10" s="30" t="s">
        <v>281</v>
      </c>
    </row>
    <row r="11" spans="1:26" ht="36" customHeight="1">
      <c r="A11" s="29">
        <v>7</v>
      </c>
      <c r="B11" s="30" t="s">
        <v>104</v>
      </c>
      <c r="C11" s="30" t="s">
        <v>21</v>
      </c>
      <c r="D11" s="30" t="s">
        <v>106</v>
      </c>
      <c r="E11" s="30" t="s">
        <v>289</v>
      </c>
      <c r="F11" s="30" t="s">
        <v>217</v>
      </c>
      <c r="G11" s="30" t="s">
        <v>279</v>
      </c>
      <c r="H11" s="30"/>
      <c r="I11" s="30" t="s">
        <v>280</v>
      </c>
      <c r="J11" s="30" t="s">
        <v>290</v>
      </c>
    </row>
    <row r="12" spans="1:26" ht="36" customHeight="1">
      <c r="A12" s="29">
        <v>8</v>
      </c>
      <c r="B12" s="30" t="s">
        <v>113</v>
      </c>
      <c r="C12" s="30" t="s">
        <v>25</v>
      </c>
      <c r="D12" s="30" t="s">
        <v>115</v>
      </c>
      <c r="E12" s="30" t="s">
        <v>291</v>
      </c>
      <c r="F12" s="30" t="s">
        <v>62</v>
      </c>
      <c r="G12" s="30" t="s">
        <v>279</v>
      </c>
      <c r="H12" s="30"/>
      <c r="I12" s="30" t="s">
        <v>280</v>
      </c>
      <c r="J12" s="30" t="s">
        <v>281</v>
      </c>
    </row>
    <row r="13" spans="1:26" ht="36" customHeight="1">
      <c r="A13" s="29">
        <v>9</v>
      </c>
      <c r="B13" s="30" t="s">
        <v>121</v>
      </c>
      <c r="C13" s="30" t="s">
        <v>25</v>
      </c>
      <c r="D13" s="30" t="s">
        <v>123</v>
      </c>
      <c r="E13" s="30" t="s">
        <v>292</v>
      </c>
      <c r="F13" s="30" t="s">
        <v>285</v>
      </c>
      <c r="G13" s="30" t="s">
        <v>279</v>
      </c>
      <c r="H13" s="30"/>
      <c r="I13" s="30" t="s">
        <v>286</v>
      </c>
      <c r="J13" s="30" t="s">
        <v>281</v>
      </c>
    </row>
    <row r="14" spans="1:26" ht="36" customHeight="1">
      <c r="A14" s="33">
        <v>10</v>
      </c>
      <c r="B14" s="34" t="s">
        <v>129</v>
      </c>
      <c r="C14" s="34" t="s">
        <v>28</v>
      </c>
      <c r="D14" s="34" t="s">
        <v>131</v>
      </c>
      <c r="E14" s="34" t="s">
        <v>293</v>
      </c>
      <c r="F14" s="34" t="s">
        <v>285</v>
      </c>
      <c r="G14" s="34" t="s">
        <v>279</v>
      </c>
      <c r="H14" s="34"/>
      <c r="I14" s="34" t="s">
        <v>294</v>
      </c>
      <c r="J14" s="34" t="s">
        <v>295</v>
      </c>
    </row>
    <row r="15" spans="1:26" ht="36" customHeight="1">
      <c r="A15" s="33">
        <v>11</v>
      </c>
      <c r="B15" s="34" t="s">
        <v>137</v>
      </c>
      <c r="C15" s="34" t="s">
        <v>28</v>
      </c>
      <c r="D15" s="34" t="s">
        <v>139</v>
      </c>
      <c r="E15" s="34" t="s">
        <v>296</v>
      </c>
      <c r="F15" s="34" t="s">
        <v>285</v>
      </c>
      <c r="G15" s="34" t="s">
        <v>279</v>
      </c>
      <c r="H15" s="34"/>
      <c r="I15" s="34" t="s">
        <v>297</v>
      </c>
      <c r="J15" s="34" t="s">
        <v>298</v>
      </c>
    </row>
    <row r="16" spans="1:26" ht="36" customHeight="1">
      <c r="A16" s="29">
        <v>12</v>
      </c>
      <c r="B16" s="30" t="s">
        <v>145</v>
      </c>
      <c r="C16" s="30" t="s">
        <v>28</v>
      </c>
      <c r="D16" s="30" t="s">
        <v>147</v>
      </c>
      <c r="E16" s="30" t="s">
        <v>299</v>
      </c>
      <c r="F16" s="30" t="s">
        <v>62</v>
      </c>
      <c r="G16" s="30" t="s">
        <v>279</v>
      </c>
      <c r="H16" s="30"/>
      <c r="I16" s="30" t="s">
        <v>280</v>
      </c>
      <c r="J16" s="30" t="s">
        <v>281</v>
      </c>
    </row>
    <row r="17" spans="1:26" ht="36" customHeight="1">
      <c r="A17" s="29">
        <v>13</v>
      </c>
      <c r="B17" s="30" t="s">
        <v>153</v>
      </c>
      <c r="C17" s="30" t="s">
        <v>28</v>
      </c>
      <c r="D17" s="30" t="s">
        <v>155</v>
      </c>
      <c r="E17" s="30" t="s">
        <v>300</v>
      </c>
      <c r="F17" s="30" t="s">
        <v>285</v>
      </c>
      <c r="G17" s="30" t="s">
        <v>279</v>
      </c>
      <c r="H17" s="30"/>
      <c r="I17" s="30" t="s">
        <v>286</v>
      </c>
      <c r="J17" s="30" t="s">
        <v>281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36" customHeight="1">
      <c r="A18" s="29">
        <v>14</v>
      </c>
      <c r="B18" s="30" t="s">
        <v>161</v>
      </c>
      <c r="C18" s="30" t="s">
        <v>31</v>
      </c>
      <c r="D18" s="30" t="s">
        <v>163</v>
      </c>
      <c r="E18" s="30" t="s">
        <v>301</v>
      </c>
      <c r="F18" s="30" t="s">
        <v>285</v>
      </c>
      <c r="G18" s="30" t="s">
        <v>279</v>
      </c>
      <c r="H18" s="30"/>
      <c r="I18" s="30" t="s">
        <v>286</v>
      </c>
      <c r="J18" s="30" t="s">
        <v>281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36" customHeight="1">
      <c r="A19" s="29">
        <v>15</v>
      </c>
      <c r="B19" s="30" t="s">
        <v>169</v>
      </c>
      <c r="C19" s="30" t="s">
        <v>31</v>
      </c>
      <c r="D19" s="30" t="s">
        <v>171</v>
      </c>
      <c r="E19" s="30" t="s">
        <v>302</v>
      </c>
      <c r="F19" s="30" t="s">
        <v>285</v>
      </c>
      <c r="G19" s="30" t="s">
        <v>279</v>
      </c>
      <c r="H19" s="30"/>
      <c r="I19" s="30" t="s">
        <v>286</v>
      </c>
      <c r="J19" s="30" t="s">
        <v>281</v>
      </c>
    </row>
    <row r="20" spans="1:26" ht="36" customHeight="1">
      <c r="A20" s="29">
        <v>16</v>
      </c>
      <c r="B20" s="30" t="s">
        <v>177</v>
      </c>
      <c r="C20" s="30" t="s">
        <v>31</v>
      </c>
      <c r="D20" s="30" t="s">
        <v>179</v>
      </c>
      <c r="E20" s="30" t="s">
        <v>303</v>
      </c>
      <c r="F20" s="30" t="s">
        <v>285</v>
      </c>
      <c r="G20" s="30" t="s">
        <v>279</v>
      </c>
      <c r="H20" s="30"/>
      <c r="I20" s="30" t="s">
        <v>286</v>
      </c>
      <c r="J20" s="30" t="s">
        <v>281</v>
      </c>
    </row>
    <row r="21" spans="1:26" ht="36" customHeight="1">
      <c r="A21" s="29">
        <v>17</v>
      </c>
      <c r="B21" s="30" t="s">
        <v>185</v>
      </c>
      <c r="C21" s="30" t="s">
        <v>31</v>
      </c>
      <c r="D21" s="30" t="s">
        <v>187</v>
      </c>
      <c r="E21" s="30" t="s">
        <v>304</v>
      </c>
      <c r="F21" s="30" t="s">
        <v>62</v>
      </c>
      <c r="G21" s="30" t="s">
        <v>279</v>
      </c>
      <c r="H21" s="30"/>
      <c r="I21" s="30" t="s">
        <v>280</v>
      </c>
      <c r="J21" s="30" t="s">
        <v>305</v>
      </c>
    </row>
    <row r="22" spans="1:26" ht="36" customHeight="1">
      <c r="A22" s="29">
        <v>18</v>
      </c>
      <c r="B22" s="30" t="s">
        <v>193</v>
      </c>
      <c r="C22" s="30" t="s">
        <v>31</v>
      </c>
      <c r="D22" s="30" t="s">
        <v>195</v>
      </c>
      <c r="E22" s="30" t="s">
        <v>306</v>
      </c>
      <c r="F22" s="30" t="s">
        <v>285</v>
      </c>
      <c r="G22" s="30" t="s">
        <v>279</v>
      </c>
      <c r="H22" s="30"/>
      <c r="I22" s="30" t="s">
        <v>286</v>
      </c>
      <c r="J22" s="30" t="s">
        <v>281</v>
      </c>
    </row>
    <row r="23" spans="1:26" ht="36" customHeight="1">
      <c r="A23" s="29">
        <v>19</v>
      </c>
      <c r="B23" s="30" t="s">
        <v>201</v>
      </c>
      <c r="C23" s="30" t="s">
        <v>33</v>
      </c>
      <c r="D23" s="30" t="s">
        <v>203</v>
      </c>
      <c r="E23" s="30" t="s">
        <v>307</v>
      </c>
      <c r="F23" s="30" t="s">
        <v>285</v>
      </c>
      <c r="G23" s="30" t="s">
        <v>279</v>
      </c>
      <c r="H23" s="30"/>
      <c r="I23" s="30" t="s">
        <v>286</v>
      </c>
      <c r="J23" s="30" t="s">
        <v>281</v>
      </c>
    </row>
    <row r="24" spans="1:26" ht="36" customHeight="1">
      <c r="A24" s="29">
        <v>20</v>
      </c>
      <c r="B24" s="30" t="s">
        <v>209</v>
      </c>
      <c r="C24" s="30" t="s">
        <v>211</v>
      </c>
      <c r="D24" s="30" t="s">
        <v>212</v>
      </c>
      <c r="E24" s="30" t="s">
        <v>308</v>
      </c>
      <c r="F24" s="30" t="s">
        <v>285</v>
      </c>
      <c r="G24" s="30" t="s">
        <v>279</v>
      </c>
      <c r="H24" s="30"/>
      <c r="I24" s="30" t="s">
        <v>286</v>
      </c>
      <c r="J24" s="30" t="s">
        <v>281</v>
      </c>
    </row>
    <row r="25" spans="1:26" ht="36" customHeight="1">
      <c r="A25" s="33">
        <v>21</v>
      </c>
      <c r="B25" s="34" t="s">
        <v>218</v>
      </c>
      <c r="C25" s="34" t="s">
        <v>21</v>
      </c>
      <c r="D25" s="34" t="s">
        <v>220</v>
      </c>
      <c r="E25" s="34" t="s">
        <v>309</v>
      </c>
      <c r="F25" s="34" t="s">
        <v>62</v>
      </c>
      <c r="G25" s="34" t="s">
        <v>279</v>
      </c>
      <c r="H25" s="34"/>
      <c r="I25" s="34" t="s">
        <v>310</v>
      </c>
      <c r="J25" s="34" t="s">
        <v>311</v>
      </c>
    </row>
    <row r="26" spans="1:26" ht="36" customHeight="1">
      <c r="A26" s="33">
        <v>22</v>
      </c>
      <c r="B26" s="34" t="s">
        <v>229</v>
      </c>
      <c r="C26" s="34" t="s">
        <v>18</v>
      </c>
      <c r="D26" s="34" t="s">
        <v>312</v>
      </c>
      <c r="E26" s="34" t="s">
        <v>313</v>
      </c>
      <c r="F26" s="34" t="s">
        <v>62</v>
      </c>
      <c r="G26" s="34" t="s">
        <v>279</v>
      </c>
      <c r="H26" s="34"/>
      <c r="I26" s="34" t="s">
        <v>314</v>
      </c>
      <c r="J26" s="34" t="s">
        <v>315</v>
      </c>
    </row>
    <row r="27" spans="1:26" ht="36" customHeight="1">
      <c r="A27" s="33">
        <v>23</v>
      </c>
      <c r="B27" s="34" t="s">
        <v>239</v>
      </c>
      <c r="C27" s="34" t="s">
        <v>21</v>
      </c>
      <c r="D27" s="34" t="s">
        <v>241</v>
      </c>
      <c r="E27" s="34" t="s">
        <v>316</v>
      </c>
      <c r="F27" s="34" t="s">
        <v>285</v>
      </c>
      <c r="G27" s="34" t="s">
        <v>279</v>
      </c>
      <c r="H27" s="34"/>
      <c r="I27" s="34" t="s">
        <v>317</v>
      </c>
      <c r="J27" s="34" t="s">
        <v>318</v>
      </c>
    </row>
    <row r="28" spans="1:26" ht="36" customHeight="1">
      <c r="A28" s="33">
        <v>24</v>
      </c>
      <c r="B28" s="34" t="s">
        <v>249</v>
      </c>
      <c r="C28" s="34" t="s">
        <v>25</v>
      </c>
      <c r="D28" s="34" t="s">
        <v>319</v>
      </c>
      <c r="E28" s="34" t="s">
        <v>320</v>
      </c>
      <c r="F28" s="34" t="s">
        <v>62</v>
      </c>
      <c r="G28" s="34" t="s">
        <v>279</v>
      </c>
      <c r="H28" s="34"/>
      <c r="I28" s="34" t="s">
        <v>321</v>
      </c>
      <c r="J28" s="34" t="s">
        <v>322</v>
      </c>
    </row>
    <row r="29" spans="1:26" ht="36" customHeight="1">
      <c r="A29" s="35">
        <v>25</v>
      </c>
      <c r="B29" s="35" t="s">
        <v>258</v>
      </c>
      <c r="C29" s="35" t="s">
        <v>260</v>
      </c>
      <c r="D29" s="35" t="s">
        <v>261</v>
      </c>
      <c r="E29" s="36" t="s">
        <v>323</v>
      </c>
      <c r="F29" s="35" t="s">
        <v>285</v>
      </c>
      <c r="G29" s="35" t="s">
        <v>279</v>
      </c>
      <c r="H29" s="35"/>
      <c r="I29" s="35" t="s">
        <v>324</v>
      </c>
      <c r="J29" s="35" t="s">
        <v>325</v>
      </c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 count="2">
    <dataValidation type="list" allowBlank="1" sqref="F5:F28" xr:uid="{00000000-0002-0000-0200-000000000000}">
      <formula1>"Medium,High,Very High"</formula1>
    </dataValidation>
    <dataValidation type="list" allowBlank="1" sqref="G5:G28" xr:uid="{00000000-0002-0000-0200-000001000000}">
      <formula1>"Backlog,In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625" defaultRowHeight="14.25"/>
  <cols>
    <col min="1" max="1" width="6" customWidth="1"/>
    <col min="2" max="2" width="38" customWidth="1"/>
    <col min="3" max="3" width="18" customWidth="1"/>
    <col min="4" max="4" width="42" customWidth="1"/>
    <col min="5" max="5" width="46" customWidth="1"/>
    <col min="6" max="6" width="38" customWidth="1"/>
    <col min="7" max="9" width="58" customWidth="1"/>
    <col min="10" max="11" width="48" customWidth="1"/>
    <col min="12" max="26" width="8.625" customWidth="1"/>
  </cols>
  <sheetData>
    <row r="1" spans="1:26" ht="36" customHeight="1">
      <c r="A1" s="57" t="s">
        <v>326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26" ht="31.5" customHeight="1">
      <c r="A2" s="59" t="s">
        <v>327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26" ht="33.75" customHeight="1">
      <c r="A4" s="9" t="s">
        <v>39</v>
      </c>
      <c r="B4" s="11" t="s">
        <v>269</v>
      </c>
      <c r="C4" s="11" t="s">
        <v>328</v>
      </c>
      <c r="D4" s="11" t="s">
        <v>329</v>
      </c>
      <c r="E4" s="11" t="s">
        <v>330</v>
      </c>
      <c r="F4" s="11" t="s">
        <v>331</v>
      </c>
      <c r="G4" s="11" t="s">
        <v>332</v>
      </c>
      <c r="H4" s="11" t="s">
        <v>333</v>
      </c>
      <c r="I4" s="11" t="s">
        <v>334</v>
      </c>
      <c r="J4" s="11" t="s">
        <v>335</v>
      </c>
      <c r="K4" s="12" t="s">
        <v>336</v>
      </c>
    </row>
    <row r="5" spans="1:26" ht="51">
      <c r="A5" s="25">
        <v>1</v>
      </c>
      <c r="B5" s="23" t="s">
        <v>337</v>
      </c>
      <c r="C5" s="23" t="s">
        <v>10</v>
      </c>
      <c r="D5" s="23" t="s">
        <v>338</v>
      </c>
      <c r="E5" s="23" t="s">
        <v>339</v>
      </c>
      <c r="F5" s="23" t="s">
        <v>340</v>
      </c>
      <c r="G5" s="23" t="s">
        <v>341</v>
      </c>
      <c r="H5" s="23" t="s">
        <v>342</v>
      </c>
      <c r="I5" s="23" t="s">
        <v>343</v>
      </c>
      <c r="J5" s="23" t="s">
        <v>344</v>
      </c>
      <c r="K5" s="23" t="s">
        <v>345</v>
      </c>
    </row>
    <row r="6" spans="1:26" ht="51">
      <c r="A6" s="25">
        <v>2</v>
      </c>
      <c r="B6" s="23" t="s">
        <v>346</v>
      </c>
      <c r="C6" s="23" t="s">
        <v>21</v>
      </c>
      <c r="D6" s="23" t="s">
        <v>347</v>
      </c>
      <c r="E6" s="23" t="s">
        <v>348</v>
      </c>
      <c r="F6" s="23" t="s">
        <v>349</v>
      </c>
      <c r="G6" s="23" t="s">
        <v>341</v>
      </c>
      <c r="H6" s="23" t="s">
        <v>350</v>
      </c>
      <c r="I6" s="23" t="s">
        <v>351</v>
      </c>
      <c r="J6" s="23" t="s">
        <v>352</v>
      </c>
      <c r="K6" s="23" t="s">
        <v>353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51">
      <c r="A7" s="25">
        <v>3</v>
      </c>
      <c r="B7" s="23" t="s">
        <v>354</v>
      </c>
      <c r="C7" s="23" t="s">
        <v>21</v>
      </c>
      <c r="D7" s="23" t="s">
        <v>355</v>
      </c>
      <c r="E7" s="23" t="s">
        <v>356</v>
      </c>
      <c r="F7" s="23" t="s">
        <v>357</v>
      </c>
      <c r="G7" s="23" t="s">
        <v>341</v>
      </c>
      <c r="H7" s="23" t="s">
        <v>358</v>
      </c>
      <c r="I7" s="23" t="s">
        <v>359</v>
      </c>
      <c r="J7" s="23" t="s">
        <v>360</v>
      </c>
      <c r="K7" s="23" t="s">
        <v>361</v>
      </c>
    </row>
    <row r="8" spans="1:26" ht="51">
      <c r="A8" s="25">
        <v>4</v>
      </c>
      <c r="B8" s="23" t="s">
        <v>362</v>
      </c>
      <c r="C8" s="23" t="s">
        <v>21</v>
      </c>
      <c r="D8" s="23" t="s">
        <v>363</v>
      </c>
      <c r="E8" s="23" t="s">
        <v>364</v>
      </c>
      <c r="F8" s="23" t="s">
        <v>365</v>
      </c>
      <c r="G8" s="23" t="s">
        <v>341</v>
      </c>
      <c r="H8" s="23" t="s">
        <v>366</v>
      </c>
      <c r="I8" s="23" t="s">
        <v>367</v>
      </c>
      <c r="J8" s="23" t="s">
        <v>368</v>
      </c>
      <c r="K8" s="23" t="s">
        <v>369</v>
      </c>
    </row>
    <row r="9" spans="1:26" ht="51">
      <c r="A9" s="25">
        <v>5</v>
      </c>
      <c r="B9" s="23" t="s">
        <v>370</v>
      </c>
      <c r="C9" s="23" t="s">
        <v>21</v>
      </c>
      <c r="D9" s="23" t="s">
        <v>371</v>
      </c>
      <c r="E9" s="23" t="s">
        <v>372</v>
      </c>
      <c r="F9" s="23" t="s">
        <v>373</v>
      </c>
      <c r="G9" s="23" t="s">
        <v>341</v>
      </c>
      <c r="H9" s="23" t="s">
        <v>374</v>
      </c>
      <c r="I9" s="23" t="s">
        <v>375</v>
      </c>
      <c r="J9" s="23" t="s">
        <v>376</v>
      </c>
      <c r="K9" s="23" t="s">
        <v>377</v>
      </c>
    </row>
    <row r="10" spans="1:26" ht="51">
      <c r="A10" s="25">
        <v>6</v>
      </c>
      <c r="B10" s="23" t="s">
        <v>378</v>
      </c>
      <c r="C10" s="23" t="s">
        <v>18</v>
      </c>
      <c r="D10" s="23" t="s">
        <v>379</v>
      </c>
      <c r="E10" s="23" t="s">
        <v>380</v>
      </c>
      <c r="F10" s="23" t="s">
        <v>381</v>
      </c>
      <c r="G10" s="23" t="s">
        <v>341</v>
      </c>
      <c r="H10" s="23" t="s">
        <v>382</v>
      </c>
      <c r="I10" s="23" t="s">
        <v>383</v>
      </c>
      <c r="J10" s="23" t="s">
        <v>384</v>
      </c>
      <c r="K10" s="23" t="s">
        <v>385</v>
      </c>
    </row>
    <row r="11" spans="1:26" ht="51">
      <c r="A11" s="25">
        <v>7</v>
      </c>
      <c r="B11" s="23" t="s">
        <v>386</v>
      </c>
      <c r="C11" s="23" t="s">
        <v>33</v>
      </c>
      <c r="D11" s="23" t="s">
        <v>387</v>
      </c>
      <c r="E11" s="23" t="s">
        <v>339</v>
      </c>
      <c r="F11" s="23" t="s">
        <v>388</v>
      </c>
      <c r="G11" s="23" t="s">
        <v>341</v>
      </c>
      <c r="H11" s="23" t="s">
        <v>389</v>
      </c>
      <c r="I11" s="23" t="s">
        <v>390</v>
      </c>
      <c r="J11" s="23" t="s">
        <v>391</v>
      </c>
      <c r="K11" s="23" t="s">
        <v>392</v>
      </c>
    </row>
    <row r="12" spans="1:26" ht="51">
      <c r="A12" s="25">
        <v>8</v>
      </c>
      <c r="B12" s="23" t="s">
        <v>393</v>
      </c>
      <c r="C12" s="23" t="s">
        <v>33</v>
      </c>
      <c r="D12" s="23" t="s">
        <v>394</v>
      </c>
      <c r="E12" s="23" t="s">
        <v>339</v>
      </c>
      <c r="F12" s="23" t="s">
        <v>388</v>
      </c>
      <c r="G12" s="23" t="s">
        <v>341</v>
      </c>
      <c r="H12" s="23" t="s">
        <v>395</v>
      </c>
      <c r="I12" s="23" t="s">
        <v>390</v>
      </c>
      <c r="J12" s="23" t="s">
        <v>396</v>
      </c>
      <c r="K12" s="23" t="s">
        <v>392</v>
      </c>
    </row>
    <row r="13" spans="1:26" ht="51">
      <c r="A13" s="25">
        <v>9</v>
      </c>
      <c r="B13" s="23" t="s">
        <v>397</v>
      </c>
      <c r="C13" s="23" t="s">
        <v>21</v>
      </c>
      <c r="D13" s="23" t="s">
        <v>398</v>
      </c>
      <c r="E13" s="23" t="s">
        <v>399</v>
      </c>
      <c r="F13" s="23" t="s">
        <v>400</v>
      </c>
      <c r="G13" s="23" t="s">
        <v>341</v>
      </c>
      <c r="H13" s="23" t="s">
        <v>401</v>
      </c>
      <c r="I13" s="23" t="s">
        <v>343</v>
      </c>
      <c r="J13" s="23" t="s">
        <v>402</v>
      </c>
      <c r="K13" s="23" t="s">
        <v>345</v>
      </c>
    </row>
    <row r="14" spans="1:26" ht="51">
      <c r="A14" s="25">
        <v>10</v>
      </c>
      <c r="B14" s="23" t="s">
        <v>403</v>
      </c>
      <c r="C14" s="23" t="s">
        <v>18</v>
      </c>
      <c r="D14" s="23" t="s">
        <v>404</v>
      </c>
      <c r="E14" s="23" t="s">
        <v>405</v>
      </c>
      <c r="F14" s="23" t="s">
        <v>406</v>
      </c>
      <c r="G14" s="23" t="s">
        <v>341</v>
      </c>
      <c r="H14" s="23" t="s">
        <v>407</v>
      </c>
      <c r="I14" s="23" t="s">
        <v>408</v>
      </c>
      <c r="J14" s="23" t="s">
        <v>409</v>
      </c>
      <c r="K14" s="23" t="s">
        <v>410</v>
      </c>
    </row>
    <row r="15" spans="1:26" ht="51">
      <c r="A15" s="25">
        <v>11</v>
      </c>
      <c r="B15" s="23" t="s">
        <v>411</v>
      </c>
      <c r="C15" s="23" t="s">
        <v>18</v>
      </c>
      <c r="D15" s="23" t="s">
        <v>412</v>
      </c>
      <c r="E15" s="23" t="s">
        <v>413</v>
      </c>
      <c r="F15" s="23" t="s">
        <v>414</v>
      </c>
      <c r="G15" s="23" t="s">
        <v>341</v>
      </c>
      <c r="H15" s="23" t="s">
        <v>415</v>
      </c>
      <c r="I15" s="23" t="s">
        <v>416</v>
      </c>
      <c r="J15" s="23" t="s">
        <v>417</v>
      </c>
      <c r="K15" s="23" t="s">
        <v>418</v>
      </c>
    </row>
    <row r="16" spans="1:26" ht="51">
      <c r="A16" s="25">
        <v>12</v>
      </c>
      <c r="B16" s="23" t="s">
        <v>419</v>
      </c>
      <c r="C16" s="23" t="s">
        <v>18</v>
      </c>
      <c r="D16" s="23" t="s">
        <v>420</v>
      </c>
      <c r="E16" s="23" t="s">
        <v>421</v>
      </c>
      <c r="F16" s="23" t="s">
        <v>422</v>
      </c>
      <c r="G16" s="23" t="s">
        <v>341</v>
      </c>
      <c r="H16" s="23" t="s">
        <v>423</v>
      </c>
      <c r="I16" s="23" t="s">
        <v>424</v>
      </c>
      <c r="J16" s="23" t="s">
        <v>425</v>
      </c>
      <c r="K16" s="23" t="s">
        <v>426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51">
      <c r="A17" s="25">
        <v>13</v>
      </c>
      <c r="B17" s="23" t="s">
        <v>427</v>
      </c>
      <c r="C17" s="23" t="s">
        <v>15</v>
      </c>
      <c r="D17" s="23" t="s">
        <v>428</v>
      </c>
      <c r="E17" s="23" t="s">
        <v>429</v>
      </c>
      <c r="F17" s="23" t="s">
        <v>430</v>
      </c>
      <c r="G17" s="23" t="s">
        <v>341</v>
      </c>
      <c r="H17" s="23" t="s">
        <v>431</v>
      </c>
      <c r="I17" s="23" t="s">
        <v>432</v>
      </c>
      <c r="J17" s="23" t="s">
        <v>433</v>
      </c>
      <c r="K17" s="23" t="s">
        <v>434</v>
      </c>
    </row>
    <row r="18" spans="1:26" ht="51">
      <c r="A18" s="25">
        <v>14</v>
      </c>
      <c r="B18" s="23" t="s">
        <v>435</v>
      </c>
      <c r="C18" s="23" t="s">
        <v>10</v>
      </c>
      <c r="D18" s="23" t="s">
        <v>436</v>
      </c>
      <c r="E18" s="23" t="s">
        <v>437</v>
      </c>
      <c r="F18" s="23" t="s">
        <v>438</v>
      </c>
      <c r="G18" s="23" t="s">
        <v>341</v>
      </c>
      <c r="H18" s="23" t="s">
        <v>439</v>
      </c>
      <c r="I18" s="23" t="s">
        <v>440</v>
      </c>
      <c r="J18" s="23" t="s">
        <v>441</v>
      </c>
      <c r="K18" s="23" t="s">
        <v>442</v>
      </c>
    </row>
    <row r="19" spans="1:26" ht="51">
      <c r="A19" s="25">
        <v>15</v>
      </c>
      <c r="B19" s="23" t="s">
        <v>443</v>
      </c>
      <c r="C19" s="23" t="s">
        <v>31</v>
      </c>
      <c r="D19" s="23" t="s">
        <v>444</v>
      </c>
      <c r="E19" s="23" t="s">
        <v>445</v>
      </c>
      <c r="F19" s="23" t="s">
        <v>446</v>
      </c>
      <c r="G19" s="23" t="s">
        <v>341</v>
      </c>
      <c r="H19" s="23" t="s">
        <v>447</v>
      </c>
      <c r="I19" s="23" t="s">
        <v>448</v>
      </c>
      <c r="J19" s="23" t="s">
        <v>449</v>
      </c>
      <c r="K19" s="23" t="s">
        <v>450</v>
      </c>
    </row>
    <row r="20" spans="1:26" ht="51">
      <c r="A20" s="25">
        <v>16</v>
      </c>
      <c r="B20" s="23" t="s">
        <v>451</v>
      </c>
      <c r="C20" s="23" t="s">
        <v>18</v>
      </c>
      <c r="D20" s="23" t="s">
        <v>452</v>
      </c>
      <c r="E20" s="23" t="s">
        <v>453</v>
      </c>
      <c r="F20" s="23" t="s">
        <v>454</v>
      </c>
      <c r="G20" s="23" t="s">
        <v>341</v>
      </c>
      <c r="H20" s="23" t="s">
        <v>455</v>
      </c>
      <c r="I20" s="23" t="s">
        <v>456</v>
      </c>
      <c r="J20" s="23" t="s">
        <v>457</v>
      </c>
      <c r="K20" s="23" t="s">
        <v>458</v>
      </c>
    </row>
    <row r="21" spans="1:26" ht="15.75" customHeight="1">
      <c r="A21" s="25">
        <v>17</v>
      </c>
      <c r="B21" s="23" t="s">
        <v>459</v>
      </c>
      <c r="C21" s="23" t="s">
        <v>15</v>
      </c>
      <c r="D21" s="23" t="s">
        <v>460</v>
      </c>
      <c r="E21" s="23" t="s">
        <v>461</v>
      </c>
      <c r="F21" s="23" t="s">
        <v>462</v>
      </c>
      <c r="G21" s="23" t="s">
        <v>341</v>
      </c>
      <c r="H21" s="23" t="s">
        <v>463</v>
      </c>
      <c r="I21" s="23" t="s">
        <v>464</v>
      </c>
      <c r="J21" s="23" t="s">
        <v>465</v>
      </c>
      <c r="K21" s="23" t="s">
        <v>466</v>
      </c>
    </row>
    <row r="22" spans="1:26" ht="15.75" customHeight="1">
      <c r="A22" s="25">
        <v>18</v>
      </c>
      <c r="B22" s="23" t="s">
        <v>467</v>
      </c>
      <c r="C22" s="23" t="s">
        <v>18</v>
      </c>
      <c r="D22" s="23" t="s">
        <v>468</v>
      </c>
      <c r="E22" s="23" t="s">
        <v>469</v>
      </c>
      <c r="F22" s="23" t="s">
        <v>470</v>
      </c>
      <c r="G22" s="23" t="s">
        <v>341</v>
      </c>
      <c r="H22" s="23" t="s">
        <v>471</v>
      </c>
      <c r="I22" s="23" t="s">
        <v>472</v>
      </c>
      <c r="J22" s="23" t="s">
        <v>473</v>
      </c>
      <c r="K22" s="23" t="s">
        <v>474</v>
      </c>
    </row>
    <row r="23" spans="1:26" ht="15.75" customHeight="1">
      <c r="A23" s="25">
        <v>19</v>
      </c>
      <c r="B23" s="23" t="s">
        <v>475</v>
      </c>
      <c r="C23" s="23" t="s">
        <v>10</v>
      </c>
      <c r="D23" s="23" t="s">
        <v>476</v>
      </c>
      <c r="E23" s="23" t="s">
        <v>477</v>
      </c>
      <c r="F23" s="23" t="s">
        <v>478</v>
      </c>
      <c r="G23" s="23" t="s">
        <v>341</v>
      </c>
      <c r="H23" s="23" t="s">
        <v>479</v>
      </c>
      <c r="I23" s="23" t="s">
        <v>480</v>
      </c>
      <c r="J23" s="23" t="s">
        <v>481</v>
      </c>
      <c r="K23" s="23" t="s">
        <v>482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25">
        <v>20</v>
      </c>
      <c r="B24" s="23" t="s">
        <v>483</v>
      </c>
      <c r="C24" s="23" t="s">
        <v>10</v>
      </c>
      <c r="D24" s="23" t="s">
        <v>484</v>
      </c>
      <c r="E24" s="23" t="s">
        <v>485</v>
      </c>
      <c r="F24" s="23" t="s">
        <v>486</v>
      </c>
      <c r="G24" s="23" t="s">
        <v>341</v>
      </c>
      <c r="H24" s="23" t="s">
        <v>487</v>
      </c>
      <c r="I24" s="23" t="s">
        <v>488</v>
      </c>
      <c r="J24" s="23" t="s">
        <v>489</v>
      </c>
      <c r="K24" s="23" t="s">
        <v>490</v>
      </c>
    </row>
    <row r="25" spans="1:26" ht="15.75" customHeight="1">
      <c r="A25" s="25">
        <v>21</v>
      </c>
      <c r="B25" s="23" t="s">
        <v>491</v>
      </c>
      <c r="C25" s="23" t="s">
        <v>21</v>
      </c>
      <c r="D25" s="23" t="s">
        <v>492</v>
      </c>
      <c r="E25" s="23" t="s">
        <v>493</v>
      </c>
      <c r="F25" s="23" t="s">
        <v>494</v>
      </c>
      <c r="G25" s="23" t="s">
        <v>341</v>
      </c>
      <c r="H25" s="23" t="s">
        <v>495</v>
      </c>
      <c r="I25" s="23" t="s">
        <v>496</v>
      </c>
      <c r="J25" s="23" t="s">
        <v>497</v>
      </c>
      <c r="K25" s="23" t="s">
        <v>498</v>
      </c>
    </row>
    <row r="26" spans="1:26" ht="15.75" customHeight="1">
      <c r="A26" s="25">
        <v>22</v>
      </c>
      <c r="B26" s="23" t="s">
        <v>499</v>
      </c>
      <c r="C26" s="23" t="s">
        <v>18</v>
      </c>
      <c r="D26" s="23" t="s">
        <v>500</v>
      </c>
      <c r="E26" s="23" t="s">
        <v>501</v>
      </c>
      <c r="F26" s="23" t="s">
        <v>502</v>
      </c>
      <c r="G26" s="23" t="s">
        <v>341</v>
      </c>
      <c r="H26" s="23" t="s">
        <v>503</v>
      </c>
      <c r="I26" s="23" t="s">
        <v>504</v>
      </c>
      <c r="J26" s="23" t="s">
        <v>505</v>
      </c>
      <c r="K26" s="23" t="s">
        <v>506</v>
      </c>
    </row>
    <row r="27" spans="1:26" ht="15.75" customHeight="1">
      <c r="A27" s="25">
        <v>23</v>
      </c>
      <c r="B27" s="23" t="s">
        <v>507</v>
      </c>
      <c r="C27" s="23" t="s">
        <v>21</v>
      </c>
      <c r="D27" s="23" t="s">
        <v>508</v>
      </c>
      <c r="E27" s="23" t="s">
        <v>509</v>
      </c>
      <c r="F27" s="23" t="s">
        <v>510</v>
      </c>
      <c r="G27" s="23" t="s">
        <v>341</v>
      </c>
      <c r="H27" s="23" t="s">
        <v>511</v>
      </c>
      <c r="I27" s="23" t="s">
        <v>512</v>
      </c>
      <c r="J27" s="23" t="s">
        <v>513</v>
      </c>
      <c r="K27" s="23" t="s">
        <v>514</v>
      </c>
    </row>
    <row r="28" spans="1:26" ht="15.75" customHeight="1">
      <c r="A28" s="25">
        <v>24</v>
      </c>
      <c r="B28" s="23" t="s">
        <v>515</v>
      </c>
      <c r="C28" s="23" t="s">
        <v>21</v>
      </c>
      <c r="D28" s="23" t="s">
        <v>516</v>
      </c>
      <c r="E28" s="23" t="s">
        <v>517</v>
      </c>
      <c r="F28" s="23" t="s">
        <v>518</v>
      </c>
      <c r="G28" s="23" t="s">
        <v>341</v>
      </c>
      <c r="H28" s="23" t="s">
        <v>519</v>
      </c>
      <c r="I28" s="23" t="s">
        <v>520</v>
      </c>
      <c r="J28" s="23" t="s">
        <v>521</v>
      </c>
      <c r="K28" s="23" t="s">
        <v>522</v>
      </c>
    </row>
    <row r="29" spans="1:26" ht="15.75" customHeight="1">
      <c r="A29" s="25">
        <v>25</v>
      </c>
      <c r="B29" s="23" t="s">
        <v>523</v>
      </c>
      <c r="C29" s="23" t="s">
        <v>524</v>
      </c>
      <c r="D29" s="23" t="s">
        <v>525</v>
      </c>
      <c r="E29" s="23" t="s">
        <v>526</v>
      </c>
      <c r="F29" s="23" t="s">
        <v>527</v>
      </c>
      <c r="G29" s="23" t="s">
        <v>341</v>
      </c>
      <c r="H29" s="23" t="s">
        <v>528</v>
      </c>
      <c r="I29" s="23" t="s">
        <v>529</v>
      </c>
      <c r="J29" s="23" t="s">
        <v>530</v>
      </c>
      <c r="K29" s="23" t="s">
        <v>531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37">
        <v>26</v>
      </c>
      <c r="B30" s="30" t="s">
        <v>532</v>
      </c>
      <c r="C30" s="30" t="s">
        <v>18</v>
      </c>
      <c r="D30" s="30" t="s">
        <v>533</v>
      </c>
      <c r="E30" s="30" t="s">
        <v>534</v>
      </c>
      <c r="F30" s="30" t="s">
        <v>535</v>
      </c>
      <c r="G30" s="30" t="s">
        <v>536</v>
      </c>
      <c r="H30" s="30" t="s">
        <v>537</v>
      </c>
      <c r="I30" s="30" t="s">
        <v>359</v>
      </c>
      <c r="J30" s="30" t="s">
        <v>538</v>
      </c>
      <c r="K30" s="30" t="s">
        <v>361</v>
      </c>
    </row>
    <row r="31" spans="1:26" ht="15.75" customHeight="1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26" ht="15.75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.75" customHeight="1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sqref="A1:H1"/>
    </sheetView>
  </sheetViews>
  <sheetFormatPr defaultColWidth="12.625" defaultRowHeight="14.25"/>
  <cols>
    <col min="1" max="1" width="6" customWidth="1"/>
    <col min="2" max="2" width="38" customWidth="1"/>
    <col min="3" max="3" width="42" customWidth="1"/>
    <col min="4" max="4" width="10" customWidth="1"/>
    <col min="5" max="5" width="64" customWidth="1"/>
    <col min="6" max="6" width="60" customWidth="1"/>
    <col min="7" max="7" width="18" customWidth="1"/>
    <col min="8" max="8" width="50" customWidth="1"/>
    <col min="9" max="26" width="8.625" customWidth="1"/>
  </cols>
  <sheetData>
    <row r="1" spans="1:8" ht="36" customHeight="1">
      <c r="A1" s="57" t="s">
        <v>539</v>
      </c>
      <c r="B1" s="58"/>
      <c r="C1" s="58"/>
      <c r="D1" s="58"/>
      <c r="E1" s="58"/>
      <c r="F1" s="58"/>
      <c r="G1" s="58"/>
      <c r="H1" s="58"/>
    </row>
    <row r="2" spans="1:8" ht="31.5" customHeight="1">
      <c r="A2" s="59" t="s">
        <v>540</v>
      </c>
      <c r="B2" s="58"/>
      <c r="C2" s="58"/>
      <c r="D2" s="58"/>
      <c r="E2" s="58"/>
      <c r="F2" s="58"/>
      <c r="G2" s="58"/>
      <c r="H2" s="58"/>
    </row>
    <row r="3" spans="1:8">
      <c r="A3" s="1"/>
      <c r="B3" s="1"/>
      <c r="C3" s="1"/>
      <c r="D3" s="1"/>
      <c r="E3" s="1"/>
      <c r="F3" s="1"/>
      <c r="G3" s="1"/>
      <c r="H3" s="1"/>
    </row>
    <row r="4" spans="1:8" ht="33.75" customHeight="1">
      <c r="A4" s="9" t="s">
        <v>39</v>
      </c>
      <c r="B4" s="11" t="s">
        <v>40</v>
      </c>
      <c r="C4" s="11" t="s">
        <v>41</v>
      </c>
      <c r="D4" s="11" t="s">
        <v>43</v>
      </c>
      <c r="E4" s="11" t="s">
        <v>541</v>
      </c>
      <c r="F4" s="11" t="s">
        <v>47</v>
      </c>
      <c r="G4" s="11" t="s">
        <v>542</v>
      </c>
      <c r="H4" s="12" t="s">
        <v>49</v>
      </c>
    </row>
    <row r="5" spans="1:8" ht="51">
      <c r="A5" s="22">
        <v>1</v>
      </c>
      <c r="B5" s="23" t="s">
        <v>543</v>
      </c>
      <c r="C5" s="23" t="s">
        <v>544</v>
      </c>
      <c r="D5" s="23">
        <v>19027</v>
      </c>
      <c r="E5" s="23" t="s">
        <v>545</v>
      </c>
      <c r="F5" s="23" t="s">
        <v>546</v>
      </c>
      <c r="G5" s="23">
        <v>259</v>
      </c>
      <c r="H5" s="23" t="s">
        <v>547</v>
      </c>
    </row>
    <row r="6" spans="1:8" ht="51">
      <c r="A6" s="22">
        <v>2</v>
      </c>
      <c r="B6" s="23" t="s">
        <v>548</v>
      </c>
      <c r="C6" s="23" t="s">
        <v>549</v>
      </c>
      <c r="D6" s="23">
        <v>19049</v>
      </c>
      <c r="E6" s="23" t="s">
        <v>545</v>
      </c>
      <c r="F6" s="23" t="s">
        <v>550</v>
      </c>
      <c r="G6" s="23">
        <v>367</v>
      </c>
      <c r="H6" s="23" t="s">
        <v>551</v>
      </c>
    </row>
    <row r="7" spans="1:8" ht="51">
      <c r="A7" s="22">
        <v>3</v>
      </c>
      <c r="B7" s="23" t="s">
        <v>552</v>
      </c>
      <c r="C7" s="23" t="s">
        <v>553</v>
      </c>
      <c r="D7" s="23">
        <v>19061</v>
      </c>
      <c r="E7" s="23" t="s">
        <v>545</v>
      </c>
      <c r="F7" s="23" t="s">
        <v>554</v>
      </c>
      <c r="G7" s="23">
        <v>486</v>
      </c>
      <c r="H7" s="23" t="s">
        <v>555</v>
      </c>
    </row>
    <row r="8" spans="1:8" ht="51">
      <c r="A8" s="22">
        <v>4</v>
      </c>
      <c r="B8" s="23" t="s">
        <v>556</v>
      </c>
      <c r="C8" s="23" t="s">
        <v>557</v>
      </c>
      <c r="D8" s="23">
        <v>19020</v>
      </c>
      <c r="E8" s="23" t="s">
        <v>545</v>
      </c>
      <c r="F8" s="23" t="s">
        <v>558</v>
      </c>
      <c r="G8" s="23">
        <v>224</v>
      </c>
      <c r="H8" s="23" t="s">
        <v>559</v>
      </c>
    </row>
    <row r="9" spans="1:8" ht="51">
      <c r="A9" s="22">
        <v>5</v>
      </c>
      <c r="B9" s="23" t="s">
        <v>560</v>
      </c>
      <c r="C9" s="23" t="s">
        <v>561</v>
      </c>
      <c r="D9" s="23">
        <v>19500</v>
      </c>
      <c r="E9" s="23" t="s">
        <v>545</v>
      </c>
      <c r="F9" s="23" t="s">
        <v>562</v>
      </c>
      <c r="G9" s="23">
        <v>233</v>
      </c>
      <c r="H9" s="23" t="s">
        <v>563</v>
      </c>
    </row>
    <row r="10" spans="1:8" ht="51">
      <c r="A10" s="22">
        <v>6</v>
      </c>
      <c r="B10" s="23" t="s">
        <v>564</v>
      </c>
      <c r="C10" s="23" t="s">
        <v>565</v>
      </c>
      <c r="D10" s="23">
        <v>19052</v>
      </c>
      <c r="E10" s="23" t="s">
        <v>545</v>
      </c>
      <c r="F10" s="23" t="s">
        <v>566</v>
      </c>
      <c r="G10" s="23">
        <v>391</v>
      </c>
      <c r="H10" s="23" t="s">
        <v>567</v>
      </c>
    </row>
    <row r="11" spans="1:8" ht="51">
      <c r="A11" s="22">
        <v>7</v>
      </c>
      <c r="B11" s="23" t="s">
        <v>568</v>
      </c>
      <c r="C11" s="23" t="s">
        <v>569</v>
      </c>
      <c r="D11" s="23">
        <v>19034</v>
      </c>
      <c r="E11" s="23" t="s">
        <v>545</v>
      </c>
      <c r="F11" s="23" t="s">
        <v>570</v>
      </c>
      <c r="G11" s="23">
        <v>295</v>
      </c>
      <c r="H11" s="23" t="s">
        <v>571</v>
      </c>
    </row>
    <row r="12" spans="1:8" ht="51">
      <c r="A12" s="22">
        <v>8</v>
      </c>
      <c r="B12" s="23" t="s">
        <v>572</v>
      </c>
      <c r="C12" s="23" t="s">
        <v>573</v>
      </c>
      <c r="D12" s="23">
        <v>19064</v>
      </c>
      <c r="E12" s="23" t="s">
        <v>545</v>
      </c>
      <c r="F12" s="23" t="s">
        <v>574</v>
      </c>
      <c r="G12" s="23">
        <v>513</v>
      </c>
      <c r="H12" s="23" t="s">
        <v>575</v>
      </c>
    </row>
    <row r="13" spans="1:8" ht="51">
      <c r="A13" s="22">
        <v>9</v>
      </c>
      <c r="B13" s="23" t="s">
        <v>576</v>
      </c>
      <c r="C13" s="23" t="s">
        <v>577</v>
      </c>
      <c r="D13" s="23">
        <v>19047</v>
      </c>
      <c r="E13" s="23" t="s">
        <v>545</v>
      </c>
      <c r="F13" s="23" t="s">
        <v>578</v>
      </c>
      <c r="G13" s="23">
        <v>346</v>
      </c>
      <c r="H13" s="23" t="s">
        <v>579</v>
      </c>
    </row>
    <row r="14" spans="1:8" ht="51">
      <c r="A14" s="22">
        <v>10</v>
      </c>
      <c r="B14" s="23" t="s">
        <v>580</v>
      </c>
      <c r="C14" s="23" t="s">
        <v>581</v>
      </c>
      <c r="D14" s="23">
        <v>19050</v>
      </c>
      <c r="E14" s="23" t="s">
        <v>545</v>
      </c>
      <c r="F14" s="23" t="s">
        <v>582</v>
      </c>
      <c r="G14" s="23">
        <v>370</v>
      </c>
      <c r="H14" s="23" t="s">
        <v>583</v>
      </c>
    </row>
    <row r="15" spans="1:8" ht="51">
      <c r="A15" s="22">
        <v>11</v>
      </c>
      <c r="B15" s="23" t="s">
        <v>584</v>
      </c>
      <c r="C15" s="23" t="s">
        <v>585</v>
      </c>
      <c r="D15" s="23">
        <v>19075</v>
      </c>
      <c r="E15" s="23" t="s">
        <v>545</v>
      </c>
      <c r="F15" s="23" t="s">
        <v>586</v>
      </c>
      <c r="G15" s="23">
        <v>615</v>
      </c>
      <c r="H15" s="23" t="s">
        <v>587</v>
      </c>
    </row>
    <row r="16" spans="1:8" ht="51">
      <c r="A16" s="22">
        <v>12</v>
      </c>
      <c r="B16" s="23" t="s">
        <v>588</v>
      </c>
      <c r="C16" s="23" t="s">
        <v>589</v>
      </c>
      <c r="D16" s="23">
        <v>19076</v>
      </c>
      <c r="E16" s="23" t="s">
        <v>545</v>
      </c>
      <c r="F16" s="23" t="s">
        <v>590</v>
      </c>
      <c r="G16" s="23">
        <v>625</v>
      </c>
      <c r="H16" s="23" t="s">
        <v>591</v>
      </c>
    </row>
    <row r="17" spans="1:26" ht="51">
      <c r="A17" s="22">
        <v>13</v>
      </c>
      <c r="B17" s="23" t="s">
        <v>592</v>
      </c>
      <c r="C17" s="23" t="s">
        <v>593</v>
      </c>
      <c r="D17" s="23">
        <v>19033</v>
      </c>
      <c r="E17" s="23" t="s">
        <v>545</v>
      </c>
      <c r="F17" s="23" t="s">
        <v>594</v>
      </c>
      <c r="G17" s="23">
        <v>289</v>
      </c>
      <c r="H17" s="23" t="s">
        <v>595</v>
      </c>
    </row>
    <row r="18" spans="1:26" ht="51">
      <c r="A18" s="22">
        <v>14</v>
      </c>
      <c r="B18" s="23" t="s">
        <v>596</v>
      </c>
      <c r="C18" s="23" t="s">
        <v>597</v>
      </c>
      <c r="D18" s="23">
        <v>19032</v>
      </c>
      <c r="E18" s="23" t="s">
        <v>545</v>
      </c>
      <c r="F18" s="23" t="s">
        <v>598</v>
      </c>
      <c r="G18" s="23">
        <v>283</v>
      </c>
      <c r="H18" s="23" t="s">
        <v>599</v>
      </c>
    </row>
    <row r="19" spans="1:26" ht="51">
      <c r="A19" s="22">
        <v>15</v>
      </c>
      <c r="B19" s="23" t="s">
        <v>600</v>
      </c>
      <c r="C19" s="23" t="s">
        <v>601</v>
      </c>
      <c r="D19" s="23">
        <v>19053</v>
      </c>
      <c r="E19" s="23" t="s">
        <v>545</v>
      </c>
      <c r="F19" s="23" t="s">
        <v>602</v>
      </c>
      <c r="G19" s="23">
        <v>398</v>
      </c>
      <c r="H19" s="23" t="s">
        <v>603</v>
      </c>
    </row>
    <row r="20" spans="1:26" ht="51">
      <c r="A20" s="22">
        <v>16</v>
      </c>
      <c r="B20" s="23" t="s">
        <v>604</v>
      </c>
      <c r="C20" s="23" t="s">
        <v>605</v>
      </c>
      <c r="D20" s="23">
        <v>19063</v>
      </c>
      <c r="E20" s="23" t="s">
        <v>545</v>
      </c>
      <c r="F20" s="23" t="s">
        <v>606</v>
      </c>
      <c r="G20" s="23">
        <v>509</v>
      </c>
      <c r="H20" s="23" t="s">
        <v>607</v>
      </c>
    </row>
    <row r="21" spans="1:26" ht="15.75" customHeight="1">
      <c r="A21" s="22">
        <v>17</v>
      </c>
      <c r="B21" s="23" t="s">
        <v>608</v>
      </c>
      <c r="C21" s="23" t="s">
        <v>609</v>
      </c>
      <c r="D21" s="23">
        <v>19022</v>
      </c>
      <c r="E21" s="23" t="s">
        <v>545</v>
      </c>
      <c r="F21" s="23" t="s">
        <v>610</v>
      </c>
      <c r="G21" s="23">
        <v>242</v>
      </c>
      <c r="H21" s="23" t="s">
        <v>611</v>
      </c>
    </row>
    <row r="22" spans="1:26" ht="15.75" customHeight="1">
      <c r="A22" s="22">
        <v>18</v>
      </c>
      <c r="B22" s="23" t="s">
        <v>612</v>
      </c>
      <c r="C22" s="23" t="s">
        <v>613</v>
      </c>
      <c r="D22" s="23">
        <v>19026</v>
      </c>
      <c r="E22" s="23" t="s">
        <v>545</v>
      </c>
      <c r="F22" s="23" t="s">
        <v>614</v>
      </c>
      <c r="G22" s="23">
        <v>256</v>
      </c>
      <c r="H22" s="23" t="s">
        <v>615</v>
      </c>
    </row>
    <row r="23" spans="1:26" ht="15.75" customHeight="1">
      <c r="A23" s="22">
        <v>19</v>
      </c>
      <c r="B23" s="23" t="s">
        <v>616</v>
      </c>
      <c r="C23" s="23" t="s">
        <v>617</v>
      </c>
      <c r="D23" s="23">
        <v>19070</v>
      </c>
      <c r="E23" s="23" t="s">
        <v>545</v>
      </c>
      <c r="F23" s="23" t="s">
        <v>618</v>
      </c>
      <c r="G23" s="23">
        <v>579</v>
      </c>
      <c r="H23" s="23" t="s">
        <v>619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22">
        <v>20</v>
      </c>
      <c r="B24" s="23" t="s">
        <v>620</v>
      </c>
      <c r="C24" s="23" t="s">
        <v>621</v>
      </c>
      <c r="D24" s="23">
        <v>19066</v>
      </c>
      <c r="E24" s="23" t="s">
        <v>545</v>
      </c>
      <c r="F24" s="23" t="s">
        <v>622</v>
      </c>
      <c r="G24" s="23">
        <v>538</v>
      </c>
      <c r="H24" s="23" t="s">
        <v>623</v>
      </c>
    </row>
    <row r="25" spans="1:26" ht="15.75" customHeight="1">
      <c r="A25" s="22">
        <v>21</v>
      </c>
      <c r="B25" s="23" t="s">
        <v>624</v>
      </c>
      <c r="C25" s="23" t="s">
        <v>625</v>
      </c>
      <c r="D25" s="23">
        <v>19071</v>
      </c>
      <c r="E25" s="23" t="s">
        <v>545</v>
      </c>
      <c r="F25" s="23" t="s">
        <v>626</v>
      </c>
      <c r="G25" s="23">
        <v>587</v>
      </c>
      <c r="H25" s="23" t="s">
        <v>627</v>
      </c>
    </row>
    <row r="26" spans="1:26" ht="15.75" customHeight="1">
      <c r="A26" s="22">
        <v>22</v>
      </c>
      <c r="B26" s="23" t="s">
        <v>628</v>
      </c>
      <c r="C26" s="23" t="s">
        <v>629</v>
      </c>
      <c r="D26" s="23">
        <v>19073</v>
      </c>
      <c r="E26" s="23" t="s">
        <v>545</v>
      </c>
      <c r="F26" s="23" t="s">
        <v>630</v>
      </c>
      <c r="G26" s="23">
        <v>602</v>
      </c>
      <c r="H26" s="23" t="s">
        <v>631</v>
      </c>
    </row>
    <row r="27" spans="1:26" ht="15.75" customHeight="1">
      <c r="A27" s="22">
        <v>23</v>
      </c>
      <c r="B27" s="23" t="s">
        <v>632</v>
      </c>
      <c r="C27" s="23" t="s">
        <v>633</v>
      </c>
      <c r="D27" s="23">
        <v>19074</v>
      </c>
      <c r="E27" s="23" t="s">
        <v>545</v>
      </c>
      <c r="F27" s="23" t="s">
        <v>634</v>
      </c>
      <c r="G27" s="23">
        <v>608</v>
      </c>
      <c r="H27" s="23" t="s">
        <v>635</v>
      </c>
    </row>
    <row r="28" spans="1:26" ht="15.75" customHeight="1">
      <c r="A28" s="22"/>
      <c r="B28" s="23"/>
      <c r="C28" s="23"/>
      <c r="D28" s="23"/>
      <c r="E28" s="23"/>
      <c r="F28" s="23"/>
      <c r="G28" s="23"/>
      <c r="H28" s="23"/>
    </row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showGridLines="0" workbookViewId="0">
      <selection sqref="A1:F1"/>
    </sheetView>
  </sheetViews>
  <sheetFormatPr defaultColWidth="12.625" defaultRowHeight="14.25"/>
  <cols>
    <col min="1" max="1" width="22" customWidth="1"/>
    <col min="2" max="2" width="38" customWidth="1"/>
    <col min="3" max="3" width="62" customWidth="1"/>
    <col min="4" max="4" width="52" customWidth="1"/>
    <col min="5" max="5" width="54" customWidth="1"/>
    <col min="6" max="6" width="32" customWidth="1"/>
    <col min="7" max="26" width="8.625" customWidth="1"/>
  </cols>
  <sheetData>
    <row r="1" spans="1:6" ht="36" customHeight="1">
      <c r="A1" s="57" t="s">
        <v>636</v>
      </c>
      <c r="B1" s="58"/>
      <c r="C1" s="58"/>
      <c r="D1" s="58"/>
      <c r="E1" s="58"/>
      <c r="F1" s="58"/>
    </row>
    <row r="2" spans="1:6" ht="31.5" customHeight="1">
      <c r="A2" s="59" t="s">
        <v>637</v>
      </c>
      <c r="B2" s="58"/>
      <c r="C2" s="58"/>
      <c r="D2" s="58"/>
      <c r="E2" s="58"/>
      <c r="F2" s="58"/>
    </row>
    <row r="3" spans="1:6">
      <c r="A3" s="1"/>
      <c r="B3" s="1"/>
      <c r="C3" s="1"/>
      <c r="D3" s="1"/>
      <c r="E3" s="1"/>
      <c r="F3" s="1"/>
    </row>
    <row r="4" spans="1:6" ht="33.75" customHeight="1">
      <c r="A4" s="9" t="s">
        <v>638</v>
      </c>
      <c r="B4" s="11" t="s">
        <v>639</v>
      </c>
      <c r="C4" s="11" t="s">
        <v>640</v>
      </c>
      <c r="D4" s="11" t="s">
        <v>641</v>
      </c>
      <c r="E4" s="11" t="s">
        <v>642</v>
      </c>
      <c r="F4" s="12" t="s">
        <v>643</v>
      </c>
    </row>
    <row r="5" spans="1:6" ht="51">
      <c r="A5" s="13" t="s">
        <v>644</v>
      </c>
      <c r="B5" s="13" t="s">
        <v>645</v>
      </c>
      <c r="C5" s="13" t="s">
        <v>646</v>
      </c>
      <c r="D5" s="13" t="s">
        <v>647</v>
      </c>
      <c r="E5" s="13" t="s">
        <v>648</v>
      </c>
      <c r="F5" s="13" t="s">
        <v>649</v>
      </c>
    </row>
    <row r="6" spans="1:6" ht="51">
      <c r="A6" s="13" t="s">
        <v>650</v>
      </c>
      <c r="B6" s="13" t="s">
        <v>651</v>
      </c>
      <c r="C6" s="13" t="s">
        <v>652</v>
      </c>
      <c r="D6" s="13" t="s">
        <v>653</v>
      </c>
      <c r="E6" s="13" t="s">
        <v>654</v>
      </c>
      <c r="F6" s="13" t="s">
        <v>655</v>
      </c>
    </row>
    <row r="7" spans="1:6" ht="38.25">
      <c r="A7" s="13" t="s">
        <v>656</v>
      </c>
      <c r="B7" s="13" t="s">
        <v>657</v>
      </c>
      <c r="C7" s="13" t="s">
        <v>658</v>
      </c>
      <c r="D7" s="13" t="s">
        <v>659</v>
      </c>
      <c r="E7" s="13" t="s">
        <v>660</v>
      </c>
      <c r="F7" s="13" t="s">
        <v>661</v>
      </c>
    </row>
    <row r="8" spans="1:6" ht="51">
      <c r="A8" s="13" t="s">
        <v>662</v>
      </c>
      <c r="B8" s="13" t="s">
        <v>663</v>
      </c>
      <c r="C8" s="13" t="s">
        <v>664</v>
      </c>
      <c r="D8" s="13" t="s">
        <v>665</v>
      </c>
      <c r="E8" s="13" t="s">
        <v>666</v>
      </c>
      <c r="F8" s="13" t="s">
        <v>667</v>
      </c>
    </row>
    <row r="9" spans="1:6" ht="38.25">
      <c r="A9" s="13" t="s">
        <v>668</v>
      </c>
      <c r="B9" s="13" t="s">
        <v>669</v>
      </c>
      <c r="C9" s="13" t="s">
        <v>670</v>
      </c>
      <c r="D9" s="13" t="s">
        <v>671</v>
      </c>
      <c r="E9" s="13" t="s">
        <v>672</v>
      </c>
      <c r="F9" s="13" t="s">
        <v>673</v>
      </c>
    </row>
    <row r="10" spans="1:6" ht="38.25">
      <c r="A10" s="13" t="s">
        <v>674</v>
      </c>
      <c r="B10" s="13" t="s">
        <v>675</v>
      </c>
      <c r="C10" s="13" t="s">
        <v>676</v>
      </c>
      <c r="D10" s="13" t="s">
        <v>677</v>
      </c>
      <c r="E10" s="13" t="s">
        <v>678</v>
      </c>
      <c r="F10" s="13" t="s">
        <v>679</v>
      </c>
    </row>
    <row r="11" spans="1:6" ht="51">
      <c r="A11" s="13" t="s">
        <v>680</v>
      </c>
      <c r="B11" s="13" t="s">
        <v>681</v>
      </c>
      <c r="C11" s="13" t="s">
        <v>682</v>
      </c>
      <c r="D11" s="13" t="s">
        <v>683</v>
      </c>
      <c r="E11" s="13" t="s">
        <v>684</v>
      </c>
      <c r="F11" s="13" t="s">
        <v>685</v>
      </c>
    </row>
    <row r="12" spans="1:6" ht="51">
      <c r="A12" s="13" t="s">
        <v>686</v>
      </c>
      <c r="B12" s="13" t="s">
        <v>687</v>
      </c>
      <c r="C12" s="13" t="s">
        <v>688</v>
      </c>
      <c r="D12" s="13" t="s">
        <v>689</v>
      </c>
      <c r="E12" s="13" t="s">
        <v>690</v>
      </c>
      <c r="F12" s="13" t="s">
        <v>685</v>
      </c>
    </row>
    <row r="13" spans="1:6" ht="51">
      <c r="A13" s="13" t="s">
        <v>691</v>
      </c>
      <c r="B13" s="13" t="s">
        <v>692</v>
      </c>
      <c r="C13" s="13" t="s">
        <v>693</v>
      </c>
      <c r="D13" s="13" t="s">
        <v>694</v>
      </c>
      <c r="E13" s="13" t="s">
        <v>695</v>
      </c>
      <c r="F13" s="13" t="s">
        <v>696</v>
      </c>
    </row>
    <row r="14" spans="1:6" ht="54" customHeight="1">
      <c r="A14" s="38" t="s">
        <v>697</v>
      </c>
      <c r="B14" s="38" t="s">
        <v>698</v>
      </c>
      <c r="C14" s="38" t="s">
        <v>699</v>
      </c>
      <c r="D14" s="38" t="s">
        <v>700</v>
      </c>
      <c r="E14" s="38" t="s">
        <v>361</v>
      </c>
      <c r="F14" s="38" t="s">
        <v>701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showGridLines="0" workbookViewId="0">
      <selection sqref="A1:F1"/>
    </sheetView>
  </sheetViews>
  <sheetFormatPr defaultColWidth="12.625" defaultRowHeight="14.25"/>
  <cols>
    <col min="1" max="1" width="28" customWidth="1"/>
    <col min="2" max="2" width="116" customWidth="1"/>
    <col min="3" max="3" width="8.625" customWidth="1"/>
    <col min="4" max="4" width="18" customWidth="1"/>
    <col min="5" max="5" width="52" customWidth="1"/>
    <col min="6" max="6" width="40" customWidth="1"/>
    <col min="7" max="26" width="8.625" customWidth="1"/>
  </cols>
  <sheetData>
    <row r="1" spans="1:6" ht="36" customHeight="1">
      <c r="A1" s="57" t="s">
        <v>702</v>
      </c>
      <c r="B1" s="58"/>
      <c r="C1" s="58"/>
      <c r="D1" s="58"/>
      <c r="E1" s="58"/>
      <c r="F1" s="58"/>
    </row>
    <row r="2" spans="1:6" ht="31.5" customHeight="1">
      <c r="A2" s="59" t="s">
        <v>703</v>
      </c>
      <c r="B2" s="58"/>
      <c r="C2" s="58"/>
      <c r="D2" s="58"/>
      <c r="E2" s="58"/>
      <c r="F2" s="58"/>
    </row>
    <row r="3" spans="1:6">
      <c r="A3" s="1"/>
      <c r="B3" s="1"/>
      <c r="C3" s="1"/>
      <c r="D3" s="1"/>
      <c r="E3" s="1"/>
      <c r="F3" s="1"/>
    </row>
    <row r="4" spans="1:6" ht="33.75" customHeight="1">
      <c r="A4" s="18" t="s">
        <v>704</v>
      </c>
      <c r="B4" s="19" t="s">
        <v>705</v>
      </c>
      <c r="C4" s="1"/>
      <c r="D4" s="18" t="s">
        <v>51</v>
      </c>
      <c r="E4" s="20" t="s">
        <v>706</v>
      </c>
      <c r="F4" s="19" t="s">
        <v>707</v>
      </c>
    </row>
    <row r="5" spans="1:6" ht="37.5" customHeight="1">
      <c r="A5" s="21" t="s">
        <v>708</v>
      </c>
      <c r="B5" s="21" t="s">
        <v>709</v>
      </c>
      <c r="C5" s="1"/>
      <c r="D5" s="21" t="s">
        <v>62</v>
      </c>
      <c r="E5" s="21" t="s">
        <v>710</v>
      </c>
      <c r="F5" s="21" t="s">
        <v>711</v>
      </c>
    </row>
    <row r="6" spans="1:6" ht="37.5" customHeight="1">
      <c r="A6" s="21" t="s">
        <v>712</v>
      </c>
      <c r="B6" s="21" t="s">
        <v>713</v>
      </c>
      <c r="C6" s="1"/>
      <c r="D6" s="21" t="s">
        <v>217</v>
      </c>
      <c r="E6" s="21" t="s">
        <v>714</v>
      </c>
      <c r="F6" s="21" t="s">
        <v>715</v>
      </c>
    </row>
    <row r="7" spans="1:6" ht="37.5" customHeight="1">
      <c r="A7" s="21" t="s">
        <v>716</v>
      </c>
      <c r="B7" s="21" t="s">
        <v>717</v>
      </c>
      <c r="C7" s="1"/>
      <c r="D7" s="21" t="s">
        <v>718</v>
      </c>
      <c r="E7" s="21" t="s">
        <v>719</v>
      </c>
      <c r="F7" s="21" t="s">
        <v>720</v>
      </c>
    </row>
    <row r="8" spans="1:6" ht="37.5" customHeight="1">
      <c r="A8" s="21" t="s">
        <v>721</v>
      </c>
      <c r="B8" s="21" t="s">
        <v>722</v>
      </c>
      <c r="C8" s="1"/>
      <c r="D8" s="1"/>
      <c r="E8" s="1"/>
      <c r="F8" s="1"/>
    </row>
    <row r="9" spans="1:6" ht="37.5" customHeight="1">
      <c r="A9" s="21" t="s">
        <v>723</v>
      </c>
      <c r="B9" s="21" t="s">
        <v>724</v>
      </c>
      <c r="C9" s="1"/>
      <c r="D9" s="1"/>
      <c r="E9" s="1"/>
      <c r="F9" s="1"/>
    </row>
    <row r="10" spans="1:6" ht="37.5" customHeight="1">
      <c r="A10" s="21" t="s">
        <v>725</v>
      </c>
      <c r="B10" s="21" t="s">
        <v>726</v>
      </c>
      <c r="C10" s="1"/>
      <c r="D10" s="1"/>
      <c r="E10" s="1"/>
      <c r="F10" s="1"/>
    </row>
    <row r="11" spans="1:6" ht="37.5" customHeight="1">
      <c r="A11" s="21" t="s">
        <v>727</v>
      </c>
      <c r="B11" s="21" t="s">
        <v>728</v>
      </c>
      <c r="C11" s="1"/>
      <c r="D11" s="1"/>
      <c r="E11" s="1"/>
      <c r="F11" s="1"/>
    </row>
    <row r="12" spans="1:6" ht="37.5" customHeight="1">
      <c r="A12" s="21" t="s">
        <v>729</v>
      </c>
      <c r="B12" s="21" t="s">
        <v>730</v>
      </c>
      <c r="C12" s="1"/>
      <c r="D12" s="1"/>
      <c r="E12" s="1"/>
      <c r="F12" s="1"/>
    </row>
    <row r="13" spans="1:6" ht="37.5" customHeight="1">
      <c r="A13" s="21" t="s">
        <v>731</v>
      </c>
      <c r="B13" s="21" t="s">
        <v>732</v>
      </c>
      <c r="C13" s="1"/>
      <c r="D13" s="1"/>
      <c r="E13" s="1"/>
      <c r="F13" s="1"/>
    </row>
    <row r="14" spans="1:6" ht="37.5" customHeight="1">
      <c r="A14" s="21" t="s">
        <v>733</v>
      </c>
      <c r="B14" s="21" t="s">
        <v>734</v>
      </c>
      <c r="C14" s="1"/>
      <c r="D14" s="1"/>
      <c r="E14" s="1"/>
      <c r="F14" s="1"/>
    </row>
    <row r="15" spans="1:6" ht="37.5" customHeight="1">
      <c r="A15" s="21" t="s">
        <v>735</v>
      </c>
      <c r="B15" s="21" t="s">
        <v>736</v>
      </c>
      <c r="C15" s="1"/>
      <c r="D15" s="1"/>
      <c r="E15" s="1"/>
      <c r="F15" s="1"/>
    </row>
    <row r="16" spans="1:6">
      <c r="A16" s="26" t="s">
        <v>737</v>
      </c>
      <c r="B16" s="26" t="s">
        <v>738</v>
      </c>
      <c r="C16" s="26"/>
      <c r="D16" s="26"/>
      <c r="E16" s="26"/>
      <c r="F16" s="26"/>
    </row>
    <row r="17" spans="1:6">
      <c r="A17" s="27" t="s">
        <v>739</v>
      </c>
      <c r="B17" s="27" t="s">
        <v>740</v>
      </c>
      <c r="C17" s="27"/>
      <c r="D17" s="27"/>
      <c r="E17" s="27"/>
      <c r="F17" s="27"/>
    </row>
    <row r="18" spans="1:6">
      <c r="A18" s="24" t="s">
        <v>741</v>
      </c>
      <c r="B18" s="24" t="s">
        <v>742</v>
      </c>
      <c r="C18" s="24"/>
      <c r="D18" s="24"/>
      <c r="E18" s="24"/>
      <c r="F18" s="24"/>
    </row>
    <row r="19" spans="1:6" ht="54" customHeight="1">
      <c r="A19" s="38" t="s">
        <v>743</v>
      </c>
      <c r="B19" s="38" t="s">
        <v>744</v>
      </c>
      <c r="C19" s="38"/>
      <c r="D19" s="38" t="s">
        <v>62</v>
      </c>
      <c r="E19" s="38" t="s">
        <v>745</v>
      </c>
      <c r="F19" s="38" t="s">
        <v>746</v>
      </c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7"/>
  <sheetViews>
    <sheetView showGridLines="0" topLeftCell="A33" workbookViewId="0">
      <selection activeCell="F48" sqref="F48"/>
    </sheetView>
  </sheetViews>
  <sheetFormatPr defaultRowHeight="14.25"/>
  <cols>
    <col min="1" max="1" width="36" customWidth="1"/>
    <col min="2" max="2" width="9" customWidth="1"/>
    <col min="3" max="3" width="30" customWidth="1"/>
    <col min="4" max="4" width="22" customWidth="1"/>
    <col min="5" max="5" width="12" customWidth="1"/>
    <col min="6" max="6" width="48" customWidth="1"/>
    <col min="7" max="7" width="42" customWidth="1"/>
    <col min="8" max="8" width="12" customWidth="1"/>
    <col min="9" max="9" width="54" customWidth="1"/>
    <col min="10" max="10" width="62" customWidth="1"/>
    <col min="11" max="11" width="56" customWidth="1"/>
  </cols>
  <sheetData>
    <row r="1" spans="1:11" ht="30" customHeight="1">
      <c r="A1" s="67" t="s">
        <v>1337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32.1" customHeight="1">
      <c r="A2" s="68" t="s">
        <v>1338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5">
      <c r="A3" s="53" t="s">
        <v>1339</v>
      </c>
      <c r="B3" s="54">
        <v>41</v>
      </c>
      <c r="C3" s="53" t="s">
        <v>1340</v>
      </c>
      <c r="D3" s="54">
        <f>COUNTIF(D7:D47,"DÙNG TRỰC TIẾP")</f>
        <v>31</v>
      </c>
      <c r="E3" s="53" t="s">
        <v>1341</v>
      </c>
      <c r="F3" s="54">
        <f>COUNTIF(D7:D47,"GTCEu TƯƠNG ĐƯƠNG")</f>
        <v>10</v>
      </c>
      <c r="G3" s="53" t="s">
        <v>1342</v>
      </c>
      <c r="H3" s="54">
        <f>COUNTIF('Block casing &amp; texture'!Q7:Q414,"KHÔNG TÌM THẤY")</f>
        <v>0</v>
      </c>
    </row>
    <row r="4" spans="1:11" ht="30" customHeight="1">
      <c r="A4" s="69" t="s">
        <v>1343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6" spans="1:11" ht="36" customHeight="1">
      <c r="A6" s="55" t="s">
        <v>1344</v>
      </c>
      <c r="B6" s="55" t="s">
        <v>763</v>
      </c>
      <c r="C6" s="55" t="s">
        <v>1345</v>
      </c>
      <c r="D6" s="55" t="s">
        <v>1346</v>
      </c>
      <c r="E6" s="55" t="s">
        <v>1347</v>
      </c>
      <c r="F6" s="55" t="s">
        <v>1348</v>
      </c>
      <c r="G6" s="55" t="s">
        <v>1349</v>
      </c>
      <c r="H6" s="55" t="s">
        <v>1350</v>
      </c>
      <c r="I6" s="55" t="s">
        <v>1351</v>
      </c>
      <c r="J6" s="55" t="s">
        <v>1352</v>
      </c>
      <c r="K6" s="55" t="s">
        <v>643</v>
      </c>
    </row>
    <row r="7" spans="1:11" ht="33.950000000000003" customHeight="1">
      <c r="A7" s="45" t="s">
        <v>1310</v>
      </c>
      <c r="B7" s="46" t="s">
        <v>791</v>
      </c>
      <c r="C7" s="45" t="s">
        <v>1353</v>
      </c>
      <c r="D7" s="50" t="s">
        <v>851</v>
      </c>
      <c r="E7" s="50" t="s">
        <v>1354</v>
      </c>
      <c r="F7" s="45" t="s">
        <v>1355</v>
      </c>
      <c r="G7" s="45" t="s">
        <v>249</v>
      </c>
      <c r="H7" s="46">
        <v>0</v>
      </c>
      <c r="I7" s="45" t="s">
        <v>1356</v>
      </c>
      <c r="J7" s="45" t="s">
        <v>1357</v>
      </c>
      <c r="K7" s="45" t="s">
        <v>1358</v>
      </c>
    </row>
    <row r="8" spans="1:11" ht="33.950000000000003" customHeight="1">
      <c r="A8" s="45" t="s">
        <v>849</v>
      </c>
      <c r="B8" s="46" t="s">
        <v>791</v>
      </c>
      <c r="C8" s="45" t="s">
        <v>1359</v>
      </c>
      <c r="D8" s="50" t="s">
        <v>851</v>
      </c>
      <c r="E8" s="50" t="s">
        <v>1354</v>
      </c>
      <c r="F8" s="45" t="s">
        <v>1360</v>
      </c>
      <c r="G8" s="45" t="s">
        <v>64</v>
      </c>
      <c r="H8" s="46">
        <v>0</v>
      </c>
      <c r="I8" s="45" t="s">
        <v>1361</v>
      </c>
      <c r="J8" s="45" t="s">
        <v>1357</v>
      </c>
      <c r="K8" s="45" t="s">
        <v>1358</v>
      </c>
    </row>
    <row r="9" spans="1:11" ht="33.950000000000003" customHeight="1">
      <c r="A9" s="45" t="s">
        <v>1272</v>
      </c>
      <c r="B9" s="46" t="s">
        <v>791</v>
      </c>
      <c r="C9" s="45" t="s">
        <v>1362</v>
      </c>
      <c r="D9" s="50" t="s">
        <v>851</v>
      </c>
      <c r="E9" s="50" t="s">
        <v>1354</v>
      </c>
      <c r="F9" s="45" t="s">
        <v>1363</v>
      </c>
      <c r="G9" s="45" t="s">
        <v>218</v>
      </c>
      <c r="H9" s="46">
        <v>0</v>
      </c>
      <c r="I9" s="45" t="s">
        <v>1364</v>
      </c>
      <c r="J9" s="45" t="s">
        <v>1357</v>
      </c>
      <c r="K9" s="45" t="s">
        <v>1365</v>
      </c>
    </row>
    <row r="10" spans="1:11" ht="33.950000000000003" customHeight="1">
      <c r="A10" s="45" t="s">
        <v>1366</v>
      </c>
      <c r="B10" s="46" t="s">
        <v>782</v>
      </c>
      <c r="C10" s="45" t="s">
        <v>1367</v>
      </c>
      <c r="D10" s="50" t="s">
        <v>851</v>
      </c>
      <c r="E10" s="50" t="s">
        <v>1354</v>
      </c>
      <c r="F10" s="45" t="s">
        <v>1368</v>
      </c>
      <c r="G10" s="45" t="s">
        <v>1369</v>
      </c>
      <c r="H10" s="46">
        <v>364</v>
      </c>
      <c r="I10" s="45" t="s">
        <v>1370</v>
      </c>
      <c r="J10" s="45" t="s">
        <v>1357</v>
      </c>
      <c r="K10" s="45" t="s">
        <v>1371</v>
      </c>
    </row>
    <row r="11" spans="1:11" ht="33.950000000000003" customHeight="1">
      <c r="A11" s="45" t="s">
        <v>1372</v>
      </c>
      <c r="B11" s="46" t="s">
        <v>806</v>
      </c>
      <c r="C11" s="45" t="s">
        <v>1373</v>
      </c>
      <c r="D11" s="50" t="s">
        <v>851</v>
      </c>
      <c r="E11" s="50" t="s">
        <v>1354</v>
      </c>
      <c r="F11" s="45" t="s">
        <v>1374</v>
      </c>
      <c r="G11" s="45" t="s">
        <v>80</v>
      </c>
      <c r="H11" s="46">
        <v>1150</v>
      </c>
      <c r="I11" s="45" t="s">
        <v>1375</v>
      </c>
      <c r="J11" s="45" t="s">
        <v>1357</v>
      </c>
      <c r="K11" s="45" t="s">
        <v>1376</v>
      </c>
    </row>
    <row r="12" spans="1:11" ht="33.950000000000003" customHeight="1">
      <c r="A12" s="45" t="s">
        <v>1372</v>
      </c>
      <c r="B12" s="46" t="s">
        <v>829</v>
      </c>
      <c r="C12" s="45" t="s">
        <v>1377</v>
      </c>
      <c r="D12" s="50" t="s">
        <v>851</v>
      </c>
      <c r="E12" s="50" t="s">
        <v>1354</v>
      </c>
      <c r="F12" s="45" t="s">
        <v>1378</v>
      </c>
      <c r="G12" s="45" t="s">
        <v>249</v>
      </c>
      <c r="H12" s="46">
        <v>0</v>
      </c>
      <c r="I12" s="45" t="s">
        <v>1379</v>
      </c>
      <c r="J12" s="45" t="s">
        <v>1357</v>
      </c>
      <c r="K12" s="45" t="s">
        <v>1380</v>
      </c>
    </row>
    <row r="13" spans="1:11" ht="33.950000000000003" customHeight="1">
      <c r="A13" s="45" t="s">
        <v>1179</v>
      </c>
      <c r="B13" s="46" t="s">
        <v>782</v>
      </c>
      <c r="C13" s="45" t="s">
        <v>1381</v>
      </c>
      <c r="D13" s="50" t="s">
        <v>851</v>
      </c>
      <c r="E13" s="50" t="s">
        <v>1354</v>
      </c>
      <c r="F13" s="45" t="s">
        <v>1382</v>
      </c>
      <c r="G13" s="45" t="s">
        <v>53</v>
      </c>
      <c r="H13" s="46">
        <v>74</v>
      </c>
      <c r="I13" s="45" t="s">
        <v>1383</v>
      </c>
      <c r="J13" s="45" t="s">
        <v>1357</v>
      </c>
      <c r="K13" s="45" t="s">
        <v>1371</v>
      </c>
    </row>
    <row r="14" spans="1:11" ht="33.950000000000003" customHeight="1">
      <c r="A14" s="45" t="s">
        <v>1179</v>
      </c>
      <c r="B14" s="46" t="s">
        <v>791</v>
      </c>
      <c r="C14" s="45" t="s">
        <v>1384</v>
      </c>
      <c r="D14" s="50" t="s">
        <v>851</v>
      </c>
      <c r="E14" s="50" t="s">
        <v>1354</v>
      </c>
      <c r="F14" s="45" t="s">
        <v>1385</v>
      </c>
      <c r="G14" s="45" t="s">
        <v>53</v>
      </c>
      <c r="H14" s="46">
        <v>222</v>
      </c>
      <c r="I14" s="45" t="s">
        <v>1386</v>
      </c>
      <c r="J14" s="45" t="s">
        <v>1357</v>
      </c>
      <c r="K14" s="45" t="s">
        <v>1371</v>
      </c>
    </row>
    <row r="15" spans="1:11" ht="33.950000000000003" customHeight="1">
      <c r="A15" s="45" t="s">
        <v>1387</v>
      </c>
      <c r="B15" s="46" t="s">
        <v>782</v>
      </c>
      <c r="C15" s="45" t="s">
        <v>1388</v>
      </c>
      <c r="D15" s="50" t="s">
        <v>851</v>
      </c>
      <c r="E15" s="50" t="s">
        <v>1354</v>
      </c>
      <c r="F15" s="45" t="s">
        <v>1389</v>
      </c>
      <c r="G15" s="45" t="s">
        <v>1390</v>
      </c>
      <c r="H15" s="46">
        <v>1422</v>
      </c>
      <c r="I15" s="45" t="s">
        <v>1391</v>
      </c>
      <c r="J15" s="45" t="s">
        <v>1357</v>
      </c>
      <c r="K15" s="45" t="s">
        <v>1371</v>
      </c>
    </row>
    <row r="16" spans="1:11" ht="33.950000000000003" customHeight="1">
      <c r="A16" s="45" t="s">
        <v>1366</v>
      </c>
      <c r="B16" s="46" t="s">
        <v>791</v>
      </c>
      <c r="C16" s="45" t="s">
        <v>1392</v>
      </c>
      <c r="D16" s="50" t="s">
        <v>851</v>
      </c>
      <c r="E16" s="50" t="s">
        <v>1354</v>
      </c>
      <c r="F16" s="45" t="s">
        <v>1393</v>
      </c>
      <c r="G16" s="45" t="s">
        <v>64</v>
      </c>
      <c r="H16" s="46">
        <v>0</v>
      </c>
      <c r="I16" s="45" t="s">
        <v>1394</v>
      </c>
      <c r="J16" s="45" t="s">
        <v>1357</v>
      </c>
      <c r="K16" s="45" t="s">
        <v>1371</v>
      </c>
    </row>
    <row r="17" spans="1:11" ht="33.950000000000003" customHeight="1">
      <c r="A17" s="45" t="s">
        <v>1366</v>
      </c>
      <c r="B17" s="46" t="s">
        <v>817</v>
      </c>
      <c r="C17" s="45" t="s">
        <v>1395</v>
      </c>
      <c r="D17" s="50" t="s">
        <v>851</v>
      </c>
      <c r="E17" s="50" t="s">
        <v>1354</v>
      </c>
      <c r="F17" s="45" t="s">
        <v>1396</v>
      </c>
      <c r="G17" s="45" t="s">
        <v>239</v>
      </c>
      <c r="H17" s="46">
        <v>512</v>
      </c>
      <c r="I17" s="45" t="s">
        <v>1397</v>
      </c>
      <c r="J17" s="45" t="s">
        <v>1357</v>
      </c>
      <c r="K17" s="45" t="s">
        <v>1371</v>
      </c>
    </row>
    <row r="18" spans="1:11" ht="33.950000000000003" customHeight="1">
      <c r="A18" s="45" t="s">
        <v>1366</v>
      </c>
      <c r="B18" s="46" t="s">
        <v>819</v>
      </c>
      <c r="C18" s="45" t="s">
        <v>1398</v>
      </c>
      <c r="D18" s="50" t="s">
        <v>851</v>
      </c>
      <c r="E18" s="50" t="s">
        <v>1354</v>
      </c>
      <c r="F18" s="45" t="s">
        <v>1399</v>
      </c>
      <c r="G18" s="45" t="s">
        <v>1400</v>
      </c>
      <c r="H18" s="46">
        <v>810</v>
      </c>
      <c r="I18" s="45" t="s">
        <v>1401</v>
      </c>
      <c r="J18" s="45" t="s">
        <v>1357</v>
      </c>
      <c r="K18" s="45" t="s">
        <v>1371</v>
      </c>
    </row>
    <row r="19" spans="1:11" ht="33.950000000000003" customHeight="1">
      <c r="A19" s="45" t="s">
        <v>1366</v>
      </c>
      <c r="B19" s="46" t="s">
        <v>926</v>
      </c>
      <c r="C19" s="45" t="s">
        <v>1402</v>
      </c>
      <c r="D19" s="50" t="s">
        <v>851</v>
      </c>
      <c r="E19" s="50" t="s">
        <v>1354</v>
      </c>
      <c r="F19" s="45" t="s">
        <v>1403</v>
      </c>
      <c r="G19" s="45" t="s">
        <v>1404</v>
      </c>
      <c r="H19" s="46">
        <v>482</v>
      </c>
      <c r="I19" s="45" t="s">
        <v>1405</v>
      </c>
      <c r="J19" s="45" t="s">
        <v>1357</v>
      </c>
      <c r="K19" s="45" t="s">
        <v>1371</v>
      </c>
    </row>
    <row r="20" spans="1:11" ht="33.950000000000003" customHeight="1">
      <c r="A20" s="45" t="s">
        <v>1387</v>
      </c>
      <c r="B20" s="46" t="s">
        <v>791</v>
      </c>
      <c r="C20" s="45" t="s">
        <v>1406</v>
      </c>
      <c r="D20" s="50" t="s">
        <v>851</v>
      </c>
      <c r="E20" s="50" t="s">
        <v>1354</v>
      </c>
      <c r="F20" s="45" t="s">
        <v>1407</v>
      </c>
      <c r="G20" s="45" t="s">
        <v>1408</v>
      </c>
      <c r="H20" s="46">
        <v>622</v>
      </c>
      <c r="I20" s="45" t="s">
        <v>1409</v>
      </c>
      <c r="J20" s="45" t="s">
        <v>1357</v>
      </c>
      <c r="K20" s="45" t="s">
        <v>1371</v>
      </c>
    </row>
    <row r="21" spans="1:11" ht="33.950000000000003" customHeight="1">
      <c r="A21" s="45" t="s">
        <v>1410</v>
      </c>
      <c r="B21" s="46" t="s">
        <v>791</v>
      </c>
      <c r="C21" s="45" t="s">
        <v>1411</v>
      </c>
      <c r="D21" s="50" t="s">
        <v>851</v>
      </c>
      <c r="E21" s="50" t="s">
        <v>1354</v>
      </c>
      <c r="F21" s="45" t="s">
        <v>1412</v>
      </c>
      <c r="G21" s="45" t="s">
        <v>1413</v>
      </c>
      <c r="H21" s="46">
        <v>379</v>
      </c>
      <c r="I21" s="45" t="s">
        <v>1414</v>
      </c>
      <c r="J21" s="45" t="s">
        <v>1357</v>
      </c>
      <c r="K21" s="45" t="s">
        <v>1415</v>
      </c>
    </row>
    <row r="22" spans="1:11" ht="33.950000000000003" customHeight="1">
      <c r="A22" s="45" t="s">
        <v>1410</v>
      </c>
      <c r="B22" s="46" t="s">
        <v>817</v>
      </c>
      <c r="C22" s="45" t="s">
        <v>1416</v>
      </c>
      <c r="D22" s="50" t="s">
        <v>851</v>
      </c>
      <c r="E22" s="50" t="s">
        <v>1354</v>
      </c>
      <c r="F22" s="45" t="s">
        <v>1417</v>
      </c>
      <c r="G22" s="45" t="s">
        <v>1413</v>
      </c>
      <c r="H22" s="46">
        <v>379</v>
      </c>
      <c r="I22" s="45" t="s">
        <v>1418</v>
      </c>
      <c r="J22" s="45" t="s">
        <v>1357</v>
      </c>
      <c r="K22" s="45" t="s">
        <v>1415</v>
      </c>
    </row>
    <row r="23" spans="1:11" ht="33.950000000000003" customHeight="1">
      <c r="A23" s="45" t="s">
        <v>1410</v>
      </c>
      <c r="B23" s="46" t="s">
        <v>782</v>
      </c>
      <c r="C23" s="45" t="s">
        <v>1419</v>
      </c>
      <c r="D23" s="50" t="s">
        <v>851</v>
      </c>
      <c r="E23" s="50" t="s">
        <v>1354</v>
      </c>
      <c r="F23" s="45" t="s">
        <v>1420</v>
      </c>
      <c r="G23" s="45" t="s">
        <v>1413</v>
      </c>
      <c r="H23" s="46">
        <v>379</v>
      </c>
      <c r="I23" s="45" t="s">
        <v>1421</v>
      </c>
      <c r="J23" s="45" t="s">
        <v>1357</v>
      </c>
      <c r="K23" s="45" t="s">
        <v>1415</v>
      </c>
    </row>
    <row r="24" spans="1:11" ht="33.950000000000003" customHeight="1">
      <c r="A24" s="45" t="s">
        <v>1410</v>
      </c>
      <c r="B24" s="46" t="s">
        <v>819</v>
      </c>
      <c r="C24" s="45" t="s">
        <v>1422</v>
      </c>
      <c r="D24" s="50" t="s">
        <v>851</v>
      </c>
      <c r="E24" s="50" t="s">
        <v>1354</v>
      </c>
      <c r="F24" s="45" t="s">
        <v>1423</v>
      </c>
      <c r="G24" s="45" t="s">
        <v>1424</v>
      </c>
      <c r="H24" s="46">
        <v>403</v>
      </c>
      <c r="I24" s="45" t="s">
        <v>1425</v>
      </c>
      <c r="J24" s="45" t="s">
        <v>1357</v>
      </c>
      <c r="K24" s="45" t="s">
        <v>1415</v>
      </c>
    </row>
    <row r="25" spans="1:11" ht="33.950000000000003" customHeight="1">
      <c r="A25" s="45" t="s">
        <v>1410</v>
      </c>
      <c r="B25" s="46" t="s">
        <v>813</v>
      </c>
      <c r="C25" s="45" t="s">
        <v>1426</v>
      </c>
      <c r="D25" s="50" t="s">
        <v>851</v>
      </c>
      <c r="E25" s="50" t="s">
        <v>1354</v>
      </c>
      <c r="F25" s="45" t="s">
        <v>1427</v>
      </c>
      <c r="G25" s="45" t="s">
        <v>1413</v>
      </c>
      <c r="H25" s="46">
        <v>379</v>
      </c>
      <c r="I25" s="45" t="s">
        <v>1428</v>
      </c>
      <c r="J25" s="45" t="s">
        <v>1357</v>
      </c>
      <c r="K25" s="45" t="s">
        <v>1415</v>
      </c>
    </row>
    <row r="26" spans="1:11" ht="33.950000000000003" customHeight="1">
      <c r="A26" s="45" t="s">
        <v>1410</v>
      </c>
      <c r="B26" s="46" t="s">
        <v>806</v>
      </c>
      <c r="C26" s="45" t="s">
        <v>1429</v>
      </c>
      <c r="D26" s="50" t="s">
        <v>851</v>
      </c>
      <c r="E26" s="50" t="s">
        <v>1354</v>
      </c>
      <c r="F26" s="45" t="s">
        <v>1430</v>
      </c>
      <c r="G26" s="45" t="s">
        <v>1413</v>
      </c>
      <c r="H26" s="46">
        <v>379</v>
      </c>
      <c r="I26" s="45" t="s">
        <v>1431</v>
      </c>
      <c r="J26" s="45" t="s">
        <v>1357</v>
      </c>
      <c r="K26" s="45" t="s">
        <v>1415</v>
      </c>
    </row>
    <row r="27" spans="1:11" ht="33.950000000000003" customHeight="1">
      <c r="A27" s="45" t="s">
        <v>1432</v>
      </c>
      <c r="B27" s="46" t="s">
        <v>926</v>
      </c>
      <c r="C27" s="45" t="s">
        <v>1433</v>
      </c>
      <c r="D27" s="50" t="s">
        <v>851</v>
      </c>
      <c r="E27" s="50" t="s">
        <v>1354</v>
      </c>
      <c r="F27" s="45" t="s">
        <v>1434</v>
      </c>
      <c r="G27" s="45" t="s">
        <v>229</v>
      </c>
      <c r="H27" s="46">
        <v>10</v>
      </c>
      <c r="I27" s="45" t="s">
        <v>1435</v>
      </c>
      <c r="J27" s="45" t="s">
        <v>1357</v>
      </c>
      <c r="K27" s="45" t="s">
        <v>1436</v>
      </c>
    </row>
    <row r="28" spans="1:11" ht="33.950000000000003" customHeight="1">
      <c r="A28" s="45" t="s">
        <v>1387</v>
      </c>
      <c r="B28" s="46" t="s">
        <v>795</v>
      </c>
      <c r="C28" s="45" t="s">
        <v>1437</v>
      </c>
      <c r="D28" s="50" t="s">
        <v>851</v>
      </c>
      <c r="E28" s="50" t="s">
        <v>1354</v>
      </c>
      <c r="F28" s="45" t="s">
        <v>1438</v>
      </c>
      <c r="G28" s="45" t="s">
        <v>258</v>
      </c>
      <c r="H28" s="46">
        <v>40</v>
      </c>
      <c r="I28" s="45" t="s">
        <v>1439</v>
      </c>
      <c r="J28" s="45" t="s">
        <v>1357</v>
      </c>
      <c r="K28" s="45" t="s">
        <v>1440</v>
      </c>
    </row>
    <row r="29" spans="1:11" ht="33.950000000000003" customHeight="1">
      <c r="A29" s="45" t="s">
        <v>967</v>
      </c>
      <c r="B29" s="46" t="s">
        <v>791</v>
      </c>
      <c r="C29" s="45" t="s">
        <v>1441</v>
      </c>
      <c r="D29" s="50" t="s">
        <v>851</v>
      </c>
      <c r="E29" s="50" t="s">
        <v>1354</v>
      </c>
      <c r="F29" s="45" t="s">
        <v>1442</v>
      </c>
      <c r="G29" s="45" t="s">
        <v>80</v>
      </c>
      <c r="H29" s="46">
        <v>1</v>
      </c>
      <c r="I29" s="45" t="s">
        <v>1443</v>
      </c>
      <c r="J29" s="45" t="s">
        <v>1357</v>
      </c>
      <c r="K29" s="45" t="s">
        <v>1444</v>
      </c>
    </row>
    <row r="30" spans="1:11" ht="33.950000000000003" customHeight="1">
      <c r="A30" s="45" t="s">
        <v>1290</v>
      </c>
      <c r="B30" s="46" t="s">
        <v>1445</v>
      </c>
      <c r="C30" s="45" t="s">
        <v>1446</v>
      </c>
      <c r="D30" s="50" t="s">
        <v>851</v>
      </c>
      <c r="E30" s="50" t="s">
        <v>1354</v>
      </c>
      <c r="F30" s="45" t="s">
        <v>1447</v>
      </c>
      <c r="G30" s="45" t="s">
        <v>229</v>
      </c>
      <c r="H30" s="46">
        <v>275</v>
      </c>
      <c r="I30" s="45" t="s">
        <v>1448</v>
      </c>
      <c r="J30" s="45" t="s">
        <v>1357</v>
      </c>
      <c r="K30" s="45" t="s">
        <v>1449</v>
      </c>
    </row>
    <row r="31" spans="1:11" ht="33.950000000000003" customHeight="1">
      <c r="A31" s="45" t="s">
        <v>877</v>
      </c>
      <c r="B31" s="46" t="s">
        <v>1445</v>
      </c>
      <c r="C31" s="45" t="s">
        <v>1450</v>
      </c>
      <c r="D31" s="50" t="s">
        <v>851</v>
      </c>
      <c r="E31" s="50" t="s">
        <v>1354</v>
      </c>
      <c r="F31" s="45" t="s">
        <v>1451</v>
      </c>
      <c r="G31" s="45" t="s">
        <v>72</v>
      </c>
      <c r="H31" s="46">
        <v>20</v>
      </c>
      <c r="I31" s="45" t="s">
        <v>1452</v>
      </c>
      <c r="J31" s="45" t="s">
        <v>1357</v>
      </c>
      <c r="K31" s="45" t="s">
        <v>1449</v>
      </c>
    </row>
    <row r="32" spans="1:11" ht="33.950000000000003" customHeight="1">
      <c r="A32" s="45" t="s">
        <v>1042</v>
      </c>
      <c r="B32" s="46" t="s">
        <v>1445</v>
      </c>
      <c r="C32" s="45" t="s">
        <v>1453</v>
      </c>
      <c r="D32" s="50" t="s">
        <v>851</v>
      </c>
      <c r="E32" s="50" t="s">
        <v>1354</v>
      </c>
      <c r="F32" s="45" t="s">
        <v>1454</v>
      </c>
      <c r="G32" s="45" t="s">
        <v>1455</v>
      </c>
      <c r="H32" s="46">
        <v>324</v>
      </c>
      <c r="I32" s="45" t="s">
        <v>1456</v>
      </c>
      <c r="J32" s="45" t="s">
        <v>1357</v>
      </c>
      <c r="K32" s="45" t="s">
        <v>1449</v>
      </c>
    </row>
    <row r="33" spans="1:11" ht="33.950000000000003" customHeight="1">
      <c r="A33" s="45" t="s">
        <v>1325</v>
      </c>
      <c r="B33" s="46" t="s">
        <v>1445</v>
      </c>
      <c r="C33" s="45" t="s">
        <v>1457</v>
      </c>
      <c r="D33" s="50" t="s">
        <v>851</v>
      </c>
      <c r="E33" s="50" t="s">
        <v>1354</v>
      </c>
      <c r="F33" s="45" t="s">
        <v>1458</v>
      </c>
      <c r="G33" s="45" t="s">
        <v>258</v>
      </c>
      <c r="H33" s="46">
        <v>44</v>
      </c>
      <c r="I33" s="45" t="s">
        <v>1459</v>
      </c>
      <c r="J33" s="45" t="s">
        <v>1357</v>
      </c>
      <c r="K33" s="45" t="s">
        <v>1449</v>
      </c>
    </row>
    <row r="34" spans="1:11" ht="33.950000000000003" customHeight="1">
      <c r="A34" s="45" t="s">
        <v>844</v>
      </c>
      <c r="B34" s="46" t="s">
        <v>1445</v>
      </c>
      <c r="C34" s="45" t="s">
        <v>1460</v>
      </c>
      <c r="D34" s="50" t="s">
        <v>851</v>
      </c>
      <c r="E34" s="50" t="s">
        <v>1354</v>
      </c>
      <c r="F34" s="45" t="s">
        <v>1461</v>
      </c>
      <c r="G34" s="45" t="s">
        <v>64</v>
      </c>
      <c r="H34" s="46">
        <v>0</v>
      </c>
      <c r="I34" s="45" t="s">
        <v>1462</v>
      </c>
      <c r="J34" s="45" t="s">
        <v>1357</v>
      </c>
      <c r="K34" s="45" t="s">
        <v>1449</v>
      </c>
    </row>
    <row r="35" spans="1:11" ht="33.950000000000003" customHeight="1">
      <c r="A35" s="45" t="s">
        <v>1328</v>
      </c>
      <c r="B35" s="46" t="s">
        <v>1445</v>
      </c>
      <c r="C35" s="45" t="s">
        <v>1463</v>
      </c>
      <c r="D35" s="50" t="s">
        <v>851</v>
      </c>
      <c r="E35" s="50" t="s">
        <v>1354</v>
      </c>
      <c r="F35" s="45" t="s">
        <v>1464</v>
      </c>
      <c r="G35" s="45" t="s">
        <v>258</v>
      </c>
      <c r="H35" s="46">
        <v>129</v>
      </c>
      <c r="I35" s="45" t="s">
        <v>1465</v>
      </c>
      <c r="J35" s="45" t="s">
        <v>1357</v>
      </c>
      <c r="K35" s="45" t="s">
        <v>1449</v>
      </c>
    </row>
    <row r="36" spans="1:11" ht="33.950000000000003" customHeight="1">
      <c r="A36" s="45" t="s">
        <v>1292</v>
      </c>
      <c r="B36" s="46" t="s">
        <v>1445</v>
      </c>
      <c r="C36" s="45" t="s">
        <v>1466</v>
      </c>
      <c r="D36" s="50" t="s">
        <v>851</v>
      </c>
      <c r="E36" s="50" t="s">
        <v>1354</v>
      </c>
      <c r="F36" s="45" t="s">
        <v>1467</v>
      </c>
      <c r="G36" s="45" t="s">
        <v>229</v>
      </c>
      <c r="H36" s="46">
        <v>243</v>
      </c>
      <c r="I36" s="45" t="s">
        <v>1468</v>
      </c>
      <c r="J36" s="45" t="s">
        <v>1357</v>
      </c>
      <c r="K36" s="45" t="s">
        <v>1449</v>
      </c>
    </row>
    <row r="37" spans="1:11" ht="33.950000000000003" customHeight="1">
      <c r="A37" s="45" t="s">
        <v>1306</v>
      </c>
      <c r="B37" s="46" t="s">
        <v>1445</v>
      </c>
      <c r="C37" s="45" t="s">
        <v>1469</v>
      </c>
      <c r="D37" s="50" t="s">
        <v>851</v>
      </c>
      <c r="E37" s="50" t="s">
        <v>1354</v>
      </c>
      <c r="F37" s="45" t="s">
        <v>1470</v>
      </c>
      <c r="G37" s="45" t="s">
        <v>239</v>
      </c>
      <c r="H37" s="46">
        <v>20</v>
      </c>
      <c r="I37" s="45" t="s">
        <v>1471</v>
      </c>
      <c r="J37" s="45" t="s">
        <v>1357</v>
      </c>
      <c r="K37" s="45" t="s">
        <v>1449</v>
      </c>
    </row>
    <row r="38" spans="1:11" ht="33.950000000000003" customHeight="1">
      <c r="A38" s="45" t="s">
        <v>1366</v>
      </c>
      <c r="B38" s="46" t="s">
        <v>826</v>
      </c>
      <c r="C38" s="45" t="s">
        <v>1472</v>
      </c>
      <c r="D38" s="52" t="s">
        <v>964</v>
      </c>
      <c r="E38" s="56" t="s">
        <v>1354</v>
      </c>
      <c r="F38" s="45" t="s">
        <v>1473</v>
      </c>
      <c r="G38" s="45" t="s">
        <v>88</v>
      </c>
      <c r="H38" s="46">
        <v>0</v>
      </c>
      <c r="I38" s="45" t="s">
        <v>1474</v>
      </c>
      <c r="J38" s="45" t="s">
        <v>1357</v>
      </c>
      <c r="K38" s="45" t="s">
        <v>1475</v>
      </c>
    </row>
    <row r="39" spans="1:11" ht="33.950000000000003" customHeight="1">
      <c r="A39" s="45" t="s">
        <v>884</v>
      </c>
      <c r="B39" s="46" t="s">
        <v>791</v>
      </c>
      <c r="C39" s="45" t="s">
        <v>1476</v>
      </c>
      <c r="D39" s="52" t="s">
        <v>964</v>
      </c>
      <c r="E39" s="56" t="s">
        <v>1354</v>
      </c>
      <c r="F39" s="45" t="s">
        <v>1477</v>
      </c>
      <c r="G39" s="45" t="s">
        <v>1478</v>
      </c>
      <c r="H39" s="46">
        <v>426</v>
      </c>
      <c r="I39" s="45" t="s">
        <v>1479</v>
      </c>
      <c r="J39" s="45" t="s">
        <v>1357</v>
      </c>
      <c r="K39" s="45" t="s">
        <v>1480</v>
      </c>
    </row>
    <row r="40" spans="1:11" ht="33.950000000000003" customHeight="1">
      <c r="A40" s="45" t="s">
        <v>772</v>
      </c>
      <c r="B40" s="46" t="s">
        <v>1445</v>
      </c>
      <c r="C40" s="45" t="s">
        <v>1481</v>
      </c>
      <c r="D40" s="52" t="s">
        <v>964</v>
      </c>
      <c r="E40" s="56" t="s">
        <v>1354</v>
      </c>
      <c r="F40" s="45" t="s">
        <v>1482</v>
      </c>
      <c r="G40" s="45" t="s">
        <v>1483</v>
      </c>
      <c r="H40" s="46">
        <v>3272</v>
      </c>
      <c r="I40" s="45" t="s">
        <v>1484</v>
      </c>
      <c r="J40" s="45" t="s">
        <v>1357</v>
      </c>
      <c r="K40" s="45" t="s">
        <v>1485</v>
      </c>
    </row>
    <row r="41" spans="1:11" ht="33.950000000000003" customHeight="1">
      <c r="A41" s="45" t="s">
        <v>1366</v>
      </c>
      <c r="B41" s="46" t="s">
        <v>821</v>
      </c>
      <c r="C41" s="45" t="s">
        <v>1486</v>
      </c>
      <c r="D41" s="52" t="s">
        <v>964</v>
      </c>
      <c r="E41" s="56" t="s">
        <v>1354</v>
      </c>
      <c r="F41" s="45" t="s">
        <v>1487</v>
      </c>
      <c r="G41" s="45" t="s">
        <v>239</v>
      </c>
      <c r="H41" s="46">
        <v>128</v>
      </c>
      <c r="I41" s="45" t="s">
        <v>1488</v>
      </c>
      <c r="J41" s="45" t="s">
        <v>1357</v>
      </c>
      <c r="K41" s="45" t="s">
        <v>1489</v>
      </c>
    </row>
    <row r="42" spans="1:11" ht="33.950000000000003" customHeight="1">
      <c r="A42" s="45" t="s">
        <v>1490</v>
      </c>
      <c r="B42" s="46" t="s">
        <v>782</v>
      </c>
      <c r="C42" s="45" t="s">
        <v>1491</v>
      </c>
      <c r="D42" s="52" t="s">
        <v>964</v>
      </c>
      <c r="E42" s="56" t="s">
        <v>1354</v>
      </c>
      <c r="F42" s="45" t="s">
        <v>1492</v>
      </c>
      <c r="G42" s="45" t="s">
        <v>1493</v>
      </c>
      <c r="H42" s="46">
        <v>692</v>
      </c>
      <c r="I42" s="45" t="s">
        <v>1494</v>
      </c>
      <c r="J42" s="45" t="s">
        <v>1357</v>
      </c>
      <c r="K42" s="45" t="s">
        <v>1495</v>
      </c>
    </row>
    <row r="43" spans="1:11" ht="33.950000000000003" customHeight="1">
      <c r="A43" s="45" t="s">
        <v>1366</v>
      </c>
      <c r="B43" s="46" t="s">
        <v>824</v>
      </c>
      <c r="C43" s="45" t="s">
        <v>1496</v>
      </c>
      <c r="D43" s="52" t="s">
        <v>964</v>
      </c>
      <c r="E43" s="56" t="s">
        <v>1354</v>
      </c>
      <c r="F43" s="45" t="s">
        <v>1497</v>
      </c>
      <c r="G43" s="45" t="s">
        <v>1498</v>
      </c>
      <c r="H43" s="46">
        <v>1756</v>
      </c>
      <c r="I43" s="45" t="s">
        <v>1499</v>
      </c>
      <c r="J43" s="45" t="s">
        <v>1357</v>
      </c>
      <c r="K43" s="45" t="s">
        <v>1500</v>
      </c>
    </row>
    <row r="44" spans="1:11" ht="33.950000000000003" customHeight="1">
      <c r="A44" s="45" t="s">
        <v>981</v>
      </c>
      <c r="B44" s="46" t="s">
        <v>1445</v>
      </c>
      <c r="C44" s="45" t="s">
        <v>1501</v>
      </c>
      <c r="D44" s="52" t="s">
        <v>964</v>
      </c>
      <c r="E44" s="56" t="s">
        <v>1354</v>
      </c>
      <c r="F44" s="45" t="s">
        <v>1502</v>
      </c>
      <c r="G44" s="45" t="s">
        <v>1503</v>
      </c>
      <c r="H44" s="46">
        <v>95</v>
      </c>
      <c r="I44" s="45" t="s">
        <v>1504</v>
      </c>
      <c r="J44" s="45" t="s">
        <v>1357</v>
      </c>
      <c r="K44" s="45" t="s">
        <v>1505</v>
      </c>
    </row>
    <row r="45" spans="1:11" ht="33.950000000000003" customHeight="1">
      <c r="A45" s="45" t="s">
        <v>1094</v>
      </c>
      <c r="B45" s="46" t="s">
        <v>791</v>
      </c>
      <c r="C45" s="45" t="s">
        <v>1506</v>
      </c>
      <c r="D45" s="52" t="s">
        <v>964</v>
      </c>
      <c r="E45" s="56" t="s">
        <v>1354</v>
      </c>
      <c r="F45" s="45" t="s">
        <v>1502</v>
      </c>
      <c r="G45" s="45" t="s">
        <v>1507</v>
      </c>
      <c r="H45" s="46">
        <v>3989</v>
      </c>
      <c r="I45" s="45" t="s">
        <v>1504</v>
      </c>
      <c r="J45" s="45" t="s">
        <v>1357</v>
      </c>
      <c r="K45" s="45" t="s">
        <v>1508</v>
      </c>
    </row>
    <row r="46" spans="1:11" ht="33.950000000000003" customHeight="1">
      <c r="A46" s="45" t="s">
        <v>961</v>
      </c>
      <c r="B46" s="46" t="s">
        <v>1445</v>
      </c>
      <c r="C46" s="45" t="s">
        <v>1509</v>
      </c>
      <c r="D46" s="52" t="s">
        <v>964</v>
      </c>
      <c r="E46" s="56" t="s">
        <v>1354</v>
      </c>
      <c r="F46" s="45" t="s">
        <v>1510</v>
      </c>
      <c r="G46" s="45" t="s">
        <v>80</v>
      </c>
      <c r="H46" s="46">
        <v>90</v>
      </c>
      <c r="I46" s="45" t="s">
        <v>1511</v>
      </c>
      <c r="J46" s="45" t="s">
        <v>1357</v>
      </c>
      <c r="K46" s="45" t="s">
        <v>1512</v>
      </c>
    </row>
    <row r="47" spans="1:11" ht="33.950000000000003" customHeight="1">
      <c r="A47" s="45" t="s">
        <v>880</v>
      </c>
      <c r="B47" s="46" t="s">
        <v>1445</v>
      </c>
      <c r="C47" s="45" t="s">
        <v>1513</v>
      </c>
      <c r="D47" s="52" t="s">
        <v>964</v>
      </c>
      <c r="E47" s="56" t="s">
        <v>1354</v>
      </c>
      <c r="F47" s="45" t="s">
        <v>1458</v>
      </c>
      <c r="G47" s="45" t="s">
        <v>1514</v>
      </c>
      <c r="H47" s="46">
        <v>169</v>
      </c>
      <c r="I47" s="45" t="s">
        <v>1459</v>
      </c>
      <c r="J47" s="45" t="s">
        <v>1357</v>
      </c>
      <c r="K47" s="45" t="s">
        <v>1515</v>
      </c>
    </row>
  </sheetData>
  <mergeCells count="3">
    <mergeCell ref="A1:K1"/>
    <mergeCell ref="A2:K2"/>
    <mergeCell ref="A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R414"/>
  <sheetViews>
    <sheetView showGridLines="0" tabSelected="1" workbookViewId="0">
      <selection activeCell="Q6" sqref="Q6"/>
    </sheetView>
  </sheetViews>
  <sheetFormatPr defaultRowHeight="14.25"/>
  <cols>
    <col min="1" max="1" width="9" customWidth="1"/>
    <col min="2" max="2" width="27" customWidth="1"/>
    <col min="3" max="3" width="9" customWidth="1"/>
    <col min="4" max="4" width="36" customWidth="1"/>
    <col min="5" max="5" width="34" customWidth="1"/>
    <col min="6" max="6" width="8" customWidth="1"/>
    <col min="7" max="8" width="10" customWidth="1"/>
    <col min="9" max="9" width="16" customWidth="1"/>
    <col min="10" max="10" width="44" customWidth="1"/>
    <col min="11" max="11" width="11" customWidth="1"/>
    <col min="12" max="12" width="50" customWidth="1"/>
    <col min="13" max="13" width="9" customWidth="1"/>
    <col min="14" max="14" width="62" customWidth="1"/>
    <col min="15" max="15" width="11" customWidth="1"/>
    <col min="16" max="16" width="46" customWidth="1"/>
    <col min="17" max="17" width="20" customWidth="1"/>
    <col min="18" max="18" width="58" customWidth="1"/>
  </cols>
  <sheetData>
    <row r="1" spans="1:18" ht="30" customHeight="1">
      <c r="A1" s="70" t="s">
        <v>747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32.1" customHeight="1">
      <c r="A2" s="71" t="s">
        <v>748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5">
      <c r="A3" s="42" t="s">
        <v>749</v>
      </c>
      <c r="B3" s="43">
        <f>COUNTA('Danh sách máy'!A5:A29)</f>
        <v>25</v>
      </c>
      <c r="C3" s="42" t="s">
        <v>750</v>
      </c>
      <c r="D3" s="43">
        <f>COUNTA(B7:B414)</f>
        <v>408</v>
      </c>
      <c r="E3" s="42" t="s">
        <v>751</v>
      </c>
      <c r="F3" s="43">
        <f>COUNTIF(Q7:Q414,"&lt;&gt;KHÔNG TÌM THẤY")</f>
        <v>408</v>
      </c>
      <c r="G3" s="42" t="s">
        <v>752</v>
      </c>
      <c r="H3" s="43">
        <f>COUNTIF(Q7:Q414,"KHÔNG TÌM THẤY")</f>
        <v>0</v>
      </c>
      <c r="I3" s="42" t="s">
        <v>753</v>
      </c>
      <c r="J3" s="43">
        <f>SUM(O7:O414)</f>
        <v>989</v>
      </c>
    </row>
    <row r="4" spans="1:18" ht="33.950000000000003" customHeight="1">
      <c r="A4" s="72" t="s">
        <v>754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</row>
    <row r="6" spans="1:18" ht="36" customHeight="1">
      <c r="A6" s="44" t="s">
        <v>755</v>
      </c>
      <c r="B6" s="44" t="s">
        <v>756</v>
      </c>
      <c r="C6" s="44" t="s">
        <v>270</v>
      </c>
      <c r="D6" s="44" t="s">
        <v>329</v>
      </c>
      <c r="E6" s="44" t="s">
        <v>757</v>
      </c>
      <c r="F6" s="44" t="s">
        <v>758</v>
      </c>
      <c r="G6" s="44" t="s">
        <v>759</v>
      </c>
      <c r="H6" s="44" t="s">
        <v>760</v>
      </c>
      <c r="I6" s="44" t="s">
        <v>761</v>
      </c>
      <c r="J6" s="44" t="s">
        <v>762</v>
      </c>
      <c r="K6" s="44" t="s">
        <v>763</v>
      </c>
      <c r="L6" s="44" t="s">
        <v>764</v>
      </c>
      <c r="M6" s="44" t="s">
        <v>765</v>
      </c>
      <c r="N6" s="44" t="s">
        <v>766</v>
      </c>
      <c r="O6" s="44" t="s">
        <v>767</v>
      </c>
      <c r="P6" s="44" t="s">
        <v>768</v>
      </c>
      <c r="Q6" s="44" t="s">
        <v>274</v>
      </c>
      <c r="R6" s="44" t="s">
        <v>643</v>
      </c>
    </row>
    <row r="7" spans="1:18" ht="32.1" hidden="1" customHeight="1">
      <c r="A7" s="46">
        <v>1</v>
      </c>
      <c r="B7" s="45" t="s">
        <v>53</v>
      </c>
      <c r="C7" s="45" t="s">
        <v>10</v>
      </c>
      <c r="D7" s="45" t="s">
        <v>54</v>
      </c>
      <c r="E7" s="45" t="s">
        <v>769</v>
      </c>
      <c r="F7" s="46" t="s">
        <v>770</v>
      </c>
      <c r="G7" s="46">
        <v>78</v>
      </c>
      <c r="H7" s="46">
        <v>1</v>
      </c>
      <c r="I7" s="46" t="s">
        <v>771</v>
      </c>
      <c r="J7" s="45" t="s">
        <v>772</v>
      </c>
      <c r="K7" s="46"/>
      <c r="L7" s="45" t="s">
        <v>773</v>
      </c>
      <c r="M7" s="46">
        <v>245</v>
      </c>
      <c r="N7" s="46" t="s">
        <v>774</v>
      </c>
      <c r="O7" s="46">
        <v>50</v>
      </c>
      <c r="P7" s="45" t="s">
        <v>775</v>
      </c>
      <c r="Q7" s="47" t="s">
        <v>776</v>
      </c>
      <c r="R7" s="45" t="s">
        <v>777</v>
      </c>
    </row>
    <row r="8" spans="1:18" ht="32.1" hidden="1" customHeight="1">
      <c r="A8" s="46">
        <v>1</v>
      </c>
      <c r="B8" s="45" t="s">
        <v>53</v>
      </c>
      <c r="C8" s="45" t="s">
        <v>10</v>
      </c>
      <c r="D8" s="45" t="s">
        <v>54</v>
      </c>
      <c r="E8" s="45" t="s">
        <v>778</v>
      </c>
      <c r="F8" s="46" t="s">
        <v>779</v>
      </c>
      <c r="G8" s="46">
        <v>168</v>
      </c>
      <c r="H8" s="46">
        <v>1</v>
      </c>
      <c r="I8" s="46" t="s">
        <v>780</v>
      </c>
      <c r="J8" s="45" t="s">
        <v>781</v>
      </c>
      <c r="K8" s="46" t="s">
        <v>782</v>
      </c>
      <c r="L8" s="45" t="s">
        <v>773</v>
      </c>
      <c r="M8" s="46">
        <v>246</v>
      </c>
      <c r="N8" s="46" t="s">
        <v>783</v>
      </c>
      <c r="O8" s="46">
        <v>1</v>
      </c>
      <c r="P8" s="45" t="s">
        <v>775</v>
      </c>
      <c r="Q8" s="47" t="s">
        <v>776</v>
      </c>
      <c r="R8" s="45" t="s">
        <v>784</v>
      </c>
    </row>
    <row r="9" spans="1:18" ht="32.1" hidden="1" customHeight="1">
      <c r="A9" s="46">
        <v>1</v>
      </c>
      <c r="B9" s="45" t="s">
        <v>53</v>
      </c>
      <c r="C9" s="45" t="s">
        <v>10</v>
      </c>
      <c r="D9" s="45" t="s">
        <v>54</v>
      </c>
      <c r="E9" s="45" t="s">
        <v>785</v>
      </c>
      <c r="F9" s="46" t="s">
        <v>786</v>
      </c>
      <c r="G9" s="46">
        <v>34</v>
      </c>
      <c r="H9" s="46">
        <v>1</v>
      </c>
      <c r="I9" s="46" t="s">
        <v>780</v>
      </c>
      <c r="J9" s="45" t="s">
        <v>787</v>
      </c>
      <c r="K9" s="46" t="s">
        <v>782</v>
      </c>
      <c r="L9" s="45" t="s">
        <v>773</v>
      </c>
      <c r="M9" s="46">
        <v>247</v>
      </c>
      <c r="N9" s="46" t="s">
        <v>788</v>
      </c>
      <c r="O9" s="46">
        <v>1</v>
      </c>
      <c r="P9" s="45" t="s">
        <v>775</v>
      </c>
      <c r="Q9" s="47" t="s">
        <v>776</v>
      </c>
      <c r="R9" s="45" t="s">
        <v>784</v>
      </c>
    </row>
    <row r="10" spans="1:18" ht="32.1" hidden="1" customHeight="1">
      <c r="A10" s="46">
        <v>1</v>
      </c>
      <c r="B10" s="45" t="s">
        <v>53</v>
      </c>
      <c r="C10" s="45" t="s">
        <v>10</v>
      </c>
      <c r="D10" s="45" t="s">
        <v>54</v>
      </c>
      <c r="E10" s="45" t="s">
        <v>789</v>
      </c>
      <c r="F10" s="46" t="s">
        <v>790</v>
      </c>
      <c r="G10" s="46">
        <v>222</v>
      </c>
      <c r="H10" s="46">
        <v>1</v>
      </c>
      <c r="I10" s="46" t="s">
        <v>780</v>
      </c>
      <c r="J10" s="45" t="s">
        <v>787</v>
      </c>
      <c r="K10" s="46" t="s">
        <v>791</v>
      </c>
      <c r="L10" s="45" t="s">
        <v>773</v>
      </c>
      <c r="M10" s="46">
        <v>248</v>
      </c>
      <c r="N10" s="46" t="s">
        <v>792</v>
      </c>
      <c r="O10" s="46">
        <v>1</v>
      </c>
      <c r="P10" s="45" t="s">
        <v>775</v>
      </c>
      <c r="Q10" s="47" t="s">
        <v>776</v>
      </c>
      <c r="R10" s="45" t="s">
        <v>784</v>
      </c>
    </row>
    <row r="11" spans="1:18" ht="32.1" hidden="1" customHeight="1">
      <c r="A11" s="46">
        <v>1</v>
      </c>
      <c r="B11" s="45" t="s">
        <v>53</v>
      </c>
      <c r="C11" s="45" t="s">
        <v>10</v>
      </c>
      <c r="D11" s="45" t="s">
        <v>54</v>
      </c>
      <c r="E11" s="45" t="s">
        <v>793</v>
      </c>
      <c r="F11" s="46" t="s">
        <v>794</v>
      </c>
      <c r="G11" s="46">
        <v>102</v>
      </c>
      <c r="H11" s="46">
        <v>1</v>
      </c>
      <c r="I11" s="46" t="s">
        <v>780</v>
      </c>
      <c r="J11" s="45" t="s">
        <v>787</v>
      </c>
      <c r="K11" s="46" t="s">
        <v>795</v>
      </c>
      <c r="L11" s="45" t="s">
        <v>773</v>
      </c>
      <c r="M11" s="46">
        <v>249</v>
      </c>
      <c r="N11" s="46" t="s">
        <v>796</v>
      </c>
      <c r="O11" s="46">
        <v>1</v>
      </c>
      <c r="P11" s="45" t="s">
        <v>775</v>
      </c>
      <c r="Q11" s="47" t="s">
        <v>776</v>
      </c>
      <c r="R11" s="45" t="s">
        <v>784</v>
      </c>
    </row>
    <row r="12" spans="1:18" ht="32.1" hidden="1" customHeight="1">
      <c r="A12" s="46">
        <v>1</v>
      </c>
      <c r="B12" s="45" t="s">
        <v>53</v>
      </c>
      <c r="C12" s="45" t="s">
        <v>10</v>
      </c>
      <c r="D12" s="45" t="s">
        <v>54</v>
      </c>
      <c r="E12" s="45" t="s">
        <v>797</v>
      </c>
      <c r="F12" s="46" t="s">
        <v>798</v>
      </c>
      <c r="G12" s="46">
        <v>60</v>
      </c>
      <c r="H12" s="46">
        <v>1</v>
      </c>
      <c r="I12" s="46" t="s">
        <v>780</v>
      </c>
      <c r="J12" s="45" t="s">
        <v>799</v>
      </c>
      <c r="K12" s="46" t="s">
        <v>782</v>
      </c>
      <c r="L12" s="45" t="s">
        <v>773</v>
      </c>
      <c r="M12" s="46">
        <v>250</v>
      </c>
      <c r="N12" s="46" t="s">
        <v>800</v>
      </c>
      <c r="O12" s="46">
        <v>1</v>
      </c>
      <c r="P12" s="45" t="s">
        <v>775</v>
      </c>
      <c r="Q12" s="47" t="s">
        <v>776</v>
      </c>
      <c r="R12" s="45" t="s">
        <v>784</v>
      </c>
    </row>
    <row r="13" spans="1:18" ht="32.1" hidden="1" customHeight="1">
      <c r="A13" s="46">
        <v>1</v>
      </c>
      <c r="B13" s="45" t="s">
        <v>53</v>
      </c>
      <c r="C13" s="45" t="s">
        <v>10</v>
      </c>
      <c r="D13" s="45" t="s">
        <v>54</v>
      </c>
      <c r="E13" s="45" t="s">
        <v>801</v>
      </c>
      <c r="F13" s="46" t="s">
        <v>802</v>
      </c>
      <c r="G13" s="46">
        <v>40</v>
      </c>
      <c r="H13" s="46">
        <v>1</v>
      </c>
      <c r="I13" s="46" t="s">
        <v>780</v>
      </c>
      <c r="J13" s="45" t="s">
        <v>787</v>
      </c>
      <c r="K13" s="46" t="s">
        <v>782</v>
      </c>
      <c r="L13" s="45" t="s">
        <v>773</v>
      </c>
      <c r="M13" s="46">
        <v>251</v>
      </c>
      <c r="N13" s="46" t="s">
        <v>788</v>
      </c>
      <c r="O13" s="46">
        <v>1</v>
      </c>
      <c r="P13" s="45" t="s">
        <v>775</v>
      </c>
      <c r="Q13" s="47" t="s">
        <v>776</v>
      </c>
      <c r="R13" s="45" t="s">
        <v>784</v>
      </c>
    </row>
    <row r="14" spans="1:18" ht="32.1" hidden="1" customHeight="1">
      <c r="A14" s="46">
        <v>1</v>
      </c>
      <c r="B14" s="45" t="s">
        <v>53</v>
      </c>
      <c r="C14" s="45" t="s">
        <v>10</v>
      </c>
      <c r="D14" s="45" t="s">
        <v>54</v>
      </c>
      <c r="E14" s="45" t="s">
        <v>803</v>
      </c>
      <c r="F14" s="46" t="s">
        <v>804</v>
      </c>
      <c r="G14" s="46">
        <v>72</v>
      </c>
      <c r="H14" s="46">
        <v>1</v>
      </c>
      <c r="I14" s="46" t="s">
        <v>780</v>
      </c>
      <c r="J14" s="45" t="s">
        <v>805</v>
      </c>
      <c r="K14" s="46" t="s">
        <v>806</v>
      </c>
      <c r="L14" s="45" t="s">
        <v>773</v>
      </c>
      <c r="M14" s="46">
        <v>252</v>
      </c>
      <c r="N14" s="46" t="s">
        <v>807</v>
      </c>
      <c r="O14" s="46">
        <v>2</v>
      </c>
      <c r="P14" s="45" t="s">
        <v>775</v>
      </c>
      <c r="Q14" s="47" t="s">
        <v>776</v>
      </c>
      <c r="R14" s="45" t="s">
        <v>784</v>
      </c>
    </row>
    <row r="15" spans="1:18" ht="32.1" hidden="1" customHeight="1">
      <c r="A15" s="46">
        <v>1</v>
      </c>
      <c r="B15" s="45" t="s">
        <v>53</v>
      </c>
      <c r="C15" s="45" t="s">
        <v>10</v>
      </c>
      <c r="D15" s="45" t="s">
        <v>54</v>
      </c>
      <c r="E15" s="45" t="s">
        <v>808</v>
      </c>
      <c r="F15" s="46" t="s">
        <v>809</v>
      </c>
      <c r="G15" s="46">
        <v>104</v>
      </c>
      <c r="H15" s="46">
        <v>1</v>
      </c>
      <c r="I15" s="46" t="s">
        <v>780</v>
      </c>
      <c r="J15" s="45" t="s">
        <v>810</v>
      </c>
      <c r="K15" s="46" t="s">
        <v>791</v>
      </c>
      <c r="L15" s="45" t="s">
        <v>773</v>
      </c>
      <c r="M15" s="46">
        <v>254</v>
      </c>
      <c r="N15" s="46" t="s">
        <v>811</v>
      </c>
      <c r="O15" s="46">
        <v>1</v>
      </c>
      <c r="P15" s="45" t="s">
        <v>775</v>
      </c>
      <c r="Q15" s="47" t="s">
        <v>776</v>
      </c>
      <c r="R15" s="45" t="s">
        <v>784</v>
      </c>
    </row>
    <row r="16" spans="1:18" ht="32.1" hidden="1" customHeight="1">
      <c r="A16" s="46">
        <v>1</v>
      </c>
      <c r="B16" s="45" t="s">
        <v>53</v>
      </c>
      <c r="C16" s="45" t="s">
        <v>10</v>
      </c>
      <c r="D16" s="45" t="s">
        <v>54</v>
      </c>
      <c r="E16" s="45" t="s">
        <v>808</v>
      </c>
      <c r="F16" s="46" t="s">
        <v>809</v>
      </c>
      <c r="G16" s="46">
        <v>104</v>
      </c>
      <c r="H16" s="46">
        <v>1</v>
      </c>
      <c r="I16" s="46" t="s">
        <v>780</v>
      </c>
      <c r="J16" s="45" t="s">
        <v>810</v>
      </c>
      <c r="K16" s="46" t="s">
        <v>782</v>
      </c>
      <c r="L16" s="45" t="s">
        <v>773</v>
      </c>
      <c r="M16" s="46">
        <v>254</v>
      </c>
      <c r="N16" s="46" t="s">
        <v>812</v>
      </c>
      <c r="O16" s="46">
        <v>1</v>
      </c>
      <c r="P16" s="45" t="s">
        <v>775</v>
      </c>
      <c r="Q16" s="47" t="s">
        <v>776</v>
      </c>
      <c r="R16" s="45" t="s">
        <v>784</v>
      </c>
    </row>
    <row r="17" spans="1:18" ht="32.1" hidden="1" customHeight="1">
      <c r="A17" s="46">
        <v>1</v>
      </c>
      <c r="B17" s="45" t="s">
        <v>53</v>
      </c>
      <c r="C17" s="45" t="s">
        <v>10</v>
      </c>
      <c r="D17" s="45" t="s">
        <v>54</v>
      </c>
      <c r="E17" s="45" t="s">
        <v>808</v>
      </c>
      <c r="F17" s="46" t="s">
        <v>809</v>
      </c>
      <c r="G17" s="46">
        <v>104</v>
      </c>
      <c r="H17" s="46">
        <v>1</v>
      </c>
      <c r="I17" s="46" t="s">
        <v>780</v>
      </c>
      <c r="J17" s="45" t="s">
        <v>810</v>
      </c>
      <c r="K17" s="46" t="s">
        <v>813</v>
      </c>
      <c r="L17" s="45" t="s">
        <v>773</v>
      </c>
      <c r="M17" s="46">
        <v>254</v>
      </c>
      <c r="N17" s="46" t="s">
        <v>814</v>
      </c>
      <c r="O17" s="46">
        <v>1</v>
      </c>
      <c r="P17" s="45" t="s">
        <v>775</v>
      </c>
      <c r="Q17" s="47" t="s">
        <v>776</v>
      </c>
      <c r="R17" s="45" t="s">
        <v>784</v>
      </c>
    </row>
    <row r="18" spans="1:18" ht="32.1" hidden="1" customHeight="1">
      <c r="A18" s="46">
        <v>1</v>
      </c>
      <c r="B18" s="45" t="s">
        <v>53</v>
      </c>
      <c r="C18" s="45" t="s">
        <v>10</v>
      </c>
      <c r="D18" s="45" t="s">
        <v>54</v>
      </c>
      <c r="E18" s="45" t="s">
        <v>808</v>
      </c>
      <c r="F18" s="46" t="s">
        <v>809</v>
      </c>
      <c r="G18" s="46">
        <v>104</v>
      </c>
      <c r="H18" s="46">
        <v>1</v>
      </c>
      <c r="I18" s="46" t="s">
        <v>780</v>
      </c>
      <c r="J18" s="45" t="s">
        <v>810</v>
      </c>
      <c r="K18" s="46" t="s">
        <v>815</v>
      </c>
      <c r="L18" s="45" t="s">
        <v>773</v>
      </c>
      <c r="M18" s="46">
        <v>254</v>
      </c>
      <c r="N18" s="46" t="s">
        <v>816</v>
      </c>
      <c r="O18" s="46">
        <v>1</v>
      </c>
      <c r="P18" s="45" t="s">
        <v>775</v>
      </c>
      <c r="Q18" s="47" t="s">
        <v>776</v>
      </c>
      <c r="R18" s="45" t="s">
        <v>784</v>
      </c>
    </row>
    <row r="19" spans="1:18" ht="32.1" hidden="1" customHeight="1">
      <c r="A19" s="46">
        <v>1</v>
      </c>
      <c r="B19" s="45" t="s">
        <v>53</v>
      </c>
      <c r="C19" s="45" t="s">
        <v>10</v>
      </c>
      <c r="D19" s="45" t="s">
        <v>54</v>
      </c>
      <c r="E19" s="45" t="s">
        <v>808</v>
      </c>
      <c r="F19" s="46" t="s">
        <v>809</v>
      </c>
      <c r="G19" s="46">
        <v>104</v>
      </c>
      <c r="H19" s="46">
        <v>1</v>
      </c>
      <c r="I19" s="46" t="s">
        <v>780</v>
      </c>
      <c r="J19" s="45" t="s">
        <v>810</v>
      </c>
      <c r="K19" s="46" t="s">
        <v>817</v>
      </c>
      <c r="L19" s="45" t="s">
        <v>773</v>
      </c>
      <c r="M19" s="46">
        <v>254</v>
      </c>
      <c r="N19" s="46" t="s">
        <v>818</v>
      </c>
      <c r="O19" s="46">
        <v>1</v>
      </c>
      <c r="P19" s="45" t="s">
        <v>775</v>
      </c>
      <c r="Q19" s="47" t="s">
        <v>776</v>
      </c>
      <c r="R19" s="45" t="s">
        <v>784</v>
      </c>
    </row>
    <row r="20" spans="1:18" ht="32.1" hidden="1" customHeight="1">
      <c r="A20" s="46">
        <v>1</v>
      </c>
      <c r="B20" s="45" t="s">
        <v>53</v>
      </c>
      <c r="C20" s="45" t="s">
        <v>10</v>
      </c>
      <c r="D20" s="45" t="s">
        <v>54</v>
      </c>
      <c r="E20" s="45" t="s">
        <v>808</v>
      </c>
      <c r="F20" s="46" t="s">
        <v>809</v>
      </c>
      <c r="G20" s="46">
        <v>104</v>
      </c>
      <c r="H20" s="46">
        <v>1</v>
      </c>
      <c r="I20" s="46" t="s">
        <v>780</v>
      </c>
      <c r="J20" s="45" t="s">
        <v>810</v>
      </c>
      <c r="K20" s="46" t="s">
        <v>819</v>
      </c>
      <c r="L20" s="45" t="s">
        <v>773</v>
      </c>
      <c r="M20" s="46">
        <v>254</v>
      </c>
      <c r="N20" s="46" t="s">
        <v>820</v>
      </c>
      <c r="O20" s="46">
        <v>1</v>
      </c>
      <c r="P20" s="45" t="s">
        <v>775</v>
      </c>
      <c r="Q20" s="47" t="s">
        <v>776</v>
      </c>
      <c r="R20" s="45" t="s">
        <v>784</v>
      </c>
    </row>
    <row r="21" spans="1:18" ht="32.1" hidden="1" customHeight="1">
      <c r="A21" s="46">
        <v>1</v>
      </c>
      <c r="B21" s="45" t="s">
        <v>53</v>
      </c>
      <c r="C21" s="45" t="s">
        <v>10</v>
      </c>
      <c r="D21" s="45" t="s">
        <v>54</v>
      </c>
      <c r="E21" s="45" t="s">
        <v>808</v>
      </c>
      <c r="F21" s="46" t="s">
        <v>809</v>
      </c>
      <c r="G21" s="46">
        <v>104</v>
      </c>
      <c r="H21" s="46">
        <v>1</v>
      </c>
      <c r="I21" s="46" t="s">
        <v>780</v>
      </c>
      <c r="J21" s="45" t="s">
        <v>810</v>
      </c>
      <c r="K21" s="46" t="s">
        <v>821</v>
      </c>
      <c r="L21" s="45" t="s">
        <v>773</v>
      </c>
      <c r="M21" s="46">
        <v>254</v>
      </c>
      <c r="N21" s="46" t="s">
        <v>822</v>
      </c>
      <c r="O21" s="46">
        <v>1</v>
      </c>
      <c r="P21" s="45" t="s">
        <v>775</v>
      </c>
      <c r="Q21" s="47" t="s">
        <v>776</v>
      </c>
      <c r="R21" s="45" t="s">
        <v>784</v>
      </c>
    </row>
    <row r="22" spans="1:18" ht="32.1" hidden="1" customHeight="1">
      <c r="A22" s="46">
        <v>1</v>
      </c>
      <c r="B22" s="45" t="s">
        <v>53</v>
      </c>
      <c r="C22" s="45" t="s">
        <v>10</v>
      </c>
      <c r="D22" s="45" t="s">
        <v>54</v>
      </c>
      <c r="E22" s="45" t="s">
        <v>808</v>
      </c>
      <c r="F22" s="46" t="s">
        <v>809</v>
      </c>
      <c r="G22" s="46">
        <v>104</v>
      </c>
      <c r="H22" s="46">
        <v>1</v>
      </c>
      <c r="I22" s="46" t="s">
        <v>780</v>
      </c>
      <c r="J22" s="45" t="s">
        <v>810</v>
      </c>
      <c r="K22" s="46" t="s">
        <v>795</v>
      </c>
      <c r="L22" s="45" t="s">
        <v>773</v>
      </c>
      <c r="M22" s="46">
        <v>254</v>
      </c>
      <c r="N22" s="46" t="s">
        <v>823</v>
      </c>
      <c r="O22" s="46">
        <v>1</v>
      </c>
      <c r="P22" s="45" t="s">
        <v>775</v>
      </c>
      <c r="Q22" s="47" t="s">
        <v>776</v>
      </c>
      <c r="R22" s="45" t="s">
        <v>784</v>
      </c>
    </row>
    <row r="23" spans="1:18" ht="32.1" hidden="1" customHeight="1">
      <c r="A23" s="46">
        <v>1</v>
      </c>
      <c r="B23" s="45" t="s">
        <v>53</v>
      </c>
      <c r="C23" s="45" t="s">
        <v>10</v>
      </c>
      <c r="D23" s="45" t="s">
        <v>54</v>
      </c>
      <c r="E23" s="45" t="s">
        <v>808</v>
      </c>
      <c r="F23" s="46" t="s">
        <v>809</v>
      </c>
      <c r="G23" s="46">
        <v>104</v>
      </c>
      <c r="H23" s="46">
        <v>1</v>
      </c>
      <c r="I23" s="46" t="s">
        <v>780</v>
      </c>
      <c r="J23" s="45" t="s">
        <v>810</v>
      </c>
      <c r="K23" s="46" t="s">
        <v>824</v>
      </c>
      <c r="L23" s="45" t="s">
        <v>773</v>
      </c>
      <c r="M23" s="46">
        <v>254</v>
      </c>
      <c r="N23" s="46" t="s">
        <v>825</v>
      </c>
      <c r="O23" s="46">
        <v>1</v>
      </c>
      <c r="P23" s="45" t="s">
        <v>775</v>
      </c>
      <c r="Q23" s="47" t="s">
        <v>776</v>
      </c>
      <c r="R23" s="45" t="s">
        <v>784</v>
      </c>
    </row>
    <row r="24" spans="1:18" ht="32.1" hidden="1" customHeight="1">
      <c r="A24" s="46">
        <v>1</v>
      </c>
      <c r="B24" s="45" t="s">
        <v>53</v>
      </c>
      <c r="C24" s="45" t="s">
        <v>10</v>
      </c>
      <c r="D24" s="45" t="s">
        <v>54</v>
      </c>
      <c r="E24" s="45" t="s">
        <v>808</v>
      </c>
      <c r="F24" s="46" t="s">
        <v>809</v>
      </c>
      <c r="G24" s="46">
        <v>104</v>
      </c>
      <c r="H24" s="46">
        <v>1</v>
      </c>
      <c r="I24" s="46" t="s">
        <v>780</v>
      </c>
      <c r="J24" s="45" t="s">
        <v>810</v>
      </c>
      <c r="K24" s="46" t="s">
        <v>826</v>
      </c>
      <c r="L24" s="45" t="s">
        <v>773</v>
      </c>
      <c r="M24" s="46">
        <v>254</v>
      </c>
      <c r="N24" s="46" t="s">
        <v>827</v>
      </c>
      <c r="O24" s="46">
        <v>1</v>
      </c>
      <c r="P24" s="45" t="s">
        <v>775</v>
      </c>
      <c r="Q24" s="47" t="s">
        <v>776</v>
      </c>
      <c r="R24" s="45" t="s">
        <v>784</v>
      </c>
    </row>
    <row r="25" spans="1:18" ht="32.1" hidden="1" customHeight="1">
      <c r="A25" s="46">
        <v>1</v>
      </c>
      <c r="B25" s="45" t="s">
        <v>53</v>
      </c>
      <c r="C25" s="45" t="s">
        <v>10</v>
      </c>
      <c r="D25" s="45" t="s">
        <v>54</v>
      </c>
      <c r="E25" s="45" t="s">
        <v>808</v>
      </c>
      <c r="F25" s="46" t="s">
        <v>809</v>
      </c>
      <c r="G25" s="46">
        <v>104</v>
      </c>
      <c r="H25" s="46">
        <v>1</v>
      </c>
      <c r="I25" s="46" t="s">
        <v>780</v>
      </c>
      <c r="J25" s="45" t="s">
        <v>810</v>
      </c>
      <c r="K25" s="46" t="s">
        <v>806</v>
      </c>
      <c r="L25" s="45" t="s">
        <v>773</v>
      </c>
      <c r="M25" s="46">
        <v>254</v>
      </c>
      <c r="N25" s="46" t="s">
        <v>828</v>
      </c>
      <c r="O25" s="46">
        <v>1</v>
      </c>
      <c r="P25" s="45" t="s">
        <v>775</v>
      </c>
      <c r="Q25" s="47" t="s">
        <v>776</v>
      </c>
      <c r="R25" s="45" t="s">
        <v>784</v>
      </c>
    </row>
    <row r="26" spans="1:18" ht="32.1" hidden="1" customHeight="1">
      <c r="A26" s="46">
        <v>1</v>
      </c>
      <c r="B26" s="45" t="s">
        <v>53</v>
      </c>
      <c r="C26" s="45" t="s">
        <v>10</v>
      </c>
      <c r="D26" s="45" t="s">
        <v>54</v>
      </c>
      <c r="E26" s="45" t="s">
        <v>808</v>
      </c>
      <c r="F26" s="46" t="s">
        <v>809</v>
      </c>
      <c r="G26" s="46">
        <v>104</v>
      </c>
      <c r="H26" s="46">
        <v>1</v>
      </c>
      <c r="I26" s="46" t="s">
        <v>780</v>
      </c>
      <c r="J26" s="45" t="s">
        <v>810</v>
      </c>
      <c r="K26" s="46" t="s">
        <v>829</v>
      </c>
      <c r="L26" s="45" t="s">
        <v>773</v>
      </c>
      <c r="M26" s="46">
        <v>254</v>
      </c>
      <c r="N26" s="46" t="s">
        <v>830</v>
      </c>
      <c r="O26" s="46">
        <v>1</v>
      </c>
      <c r="P26" s="45" t="s">
        <v>775</v>
      </c>
      <c r="Q26" s="47" t="s">
        <v>776</v>
      </c>
      <c r="R26" s="45" t="s">
        <v>784</v>
      </c>
    </row>
    <row r="27" spans="1:18" ht="32.1" hidden="1" customHeight="1">
      <c r="A27" s="46">
        <v>1</v>
      </c>
      <c r="B27" s="45" t="s">
        <v>53</v>
      </c>
      <c r="C27" s="45" t="s">
        <v>10</v>
      </c>
      <c r="D27" s="45" t="s">
        <v>54</v>
      </c>
      <c r="E27" s="45" t="s">
        <v>808</v>
      </c>
      <c r="F27" s="46" t="s">
        <v>809</v>
      </c>
      <c r="G27" s="46">
        <v>104</v>
      </c>
      <c r="H27" s="46">
        <v>1</v>
      </c>
      <c r="I27" s="46" t="s">
        <v>780</v>
      </c>
      <c r="J27" s="45" t="s">
        <v>810</v>
      </c>
      <c r="K27" s="46" t="s">
        <v>831</v>
      </c>
      <c r="L27" s="45" t="s">
        <v>773</v>
      </c>
      <c r="M27" s="46">
        <v>254</v>
      </c>
      <c r="N27" s="46" t="s">
        <v>832</v>
      </c>
      <c r="O27" s="46">
        <v>1</v>
      </c>
      <c r="P27" s="45" t="s">
        <v>775</v>
      </c>
      <c r="Q27" s="47" t="s">
        <v>776</v>
      </c>
      <c r="R27" s="45" t="s">
        <v>784</v>
      </c>
    </row>
    <row r="28" spans="1:18" ht="32.1" hidden="1" customHeight="1">
      <c r="A28" s="46">
        <v>1</v>
      </c>
      <c r="B28" s="45" t="s">
        <v>53</v>
      </c>
      <c r="C28" s="45" t="s">
        <v>10</v>
      </c>
      <c r="D28" s="45" t="s">
        <v>54</v>
      </c>
      <c r="E28" s="45" t="s">
        <v>808</v>
      </c>
      <c r="F28" s="46" t="s">
        <v>809</v>
      </c>
      <c r="G28" s="46">
        <v>104</v>
      </c>
      <c r="H28" s="46">
        <v>1</v>
      </c>
      <c r="I28" s="46" t="s">
        <v>780</v>
      </c>
      <c r="J28" s="45" t="s">
        <v>810</v>
      </c>
      <c r="K28" s="46" t="s">
        <v>833</v>
      </c>
      <c r="L28" s="45" t="s">
        <v>773</v>
      </c>
      <c r="M28" s="46">
        <v>254</v>
      </c>
      <c r="N28" s="46" t="s">
        <v>834</v>
      </c>
      <c r="O28" s="46">
        <v>1</v>
      </c>
      <c r="P28" s="45" t="s">
        <v>775</v>
      </c>
      <c r="Q28" s="47" t="s">
        <v>776</v>
      </c>
      <c r="R28" s="45" t="s">
        <v>784</v>
      </c>
    </row>
    <row r="29" spans="1:18" ht="32.1" hidden="1" customHeight="1">
      <c r="A29" s="46">
        <v>1</v>
      </c>
      <c r="B29" s="45" t="s">
        <v>53</v>
      </c>
      <c r="C29" s="45" t="s">
        <v>10</v>
      </c>
      <c r="D29" s="45" t="s">
        <v>54</v>
      </c>
      <c r="E29" s="45" t="s">
        <v>835</v>
      </c>
      <c r="F29" s="46" t="s">
        <v>836</v>
      </c>
      <c r="G29" s="46">
        <v>188</v>
      </c>
      <c r="H29" s="46">
        <v>1</v>
      </c>
      <c r="I29" s="46" t="s">
        <v>780</v>
      </c>
      <c r="J29" s="45" t="s">
        <v>787</v>
      </c>
      <c r="K29" s="46" t="s">
        <v>813</v>
      </c>
      <c r="L29" s="45" t="s">
        <v>773</v>
      </c>
      <c r="M29" s="46">
        <v>260</v>
      </c>
      <c r="N29" s="46" t="s">
        <v>837</v>
      </c>
      <c r="O29" s="46">
        <v>1</v>
      </c>
      <c r="P29" s="45" t="s">
        <v>775</v>
      </c>
      <c r="Q29" s="47" t="s">
        <v>776</v>
      </c>
      <c r="R29" s="45" t="s">
        <v>784</v>
      </c>
    </row>
    <row r="30" spans="1:18" ht="32.1" hidden="1" customHeight="1">
      <c r="A30" s="46">
        <v>2</v>
      </c>
      <c r="B30" s="45" t="s">
        <v>64</v>
      </c>
      <c r="C30" s="45" t="s">
        <v>10</v>
      </c>
      <c r="D30" s="45" t="s">
        <v>65</v>
      </c>
      <c r="E30" s="45" t="s">
        <v>838</v>
      </c>
      <c r="F30" s="46" t="s">
        <v>770</v>
      </c>
      <c r="G30" s="46">
        <v>0</v>
      </c>
      <c r="H30" s="46">
        <v>1</v>
      </c>
      <c r="I30" s="46" t="s">
        <v>780</v>
      </c>
      <c r="J30" s="45" t="s">
        <v>799</v>
      </c>
      <c r="K30" s="46" t="s">
        <v>791</v>
      </c>
      <c r="L30" s="45" t="s">
        <v>839</v>
      </c>
      <c r="M30" s="46">
        <v>225</v>
      </c>
      <c r="N30" s="46" t="s">
        <v>840</v>
      </c>
      <c r="O30" s="46">
        <v>1</v>
      </c>
      <c r="P30" s="45" t="s">
        <v>841</v>
      </c>
      <c r="Q30" s="47" t="s">
        <v>776</v>
      </c>
      <c r="R30" s="45" t="s">
        <v>784</v>
      </c>
    </row>
    <row r="31" spans="1:18" ht="32.1" hidden="1" customHeight="1">
      <c r="A31" s="46">
        <v>2</v>
      </c>
      <c r="B31" s="45" t="s">
        <v>64</v>
      </c>
      <c r="C31" s="45" t="s">
        <v>10</v>
      </c>
      <c r="D31" s="45" t="s">
        <v>65</v>
      </c>
      <c r="E31" s="45" t="s">
        <v>838</v>
      </c>
      <c r="F31" s="46" t="s">
        <v>842</v>
      </c>
      <c r="G31" s="46">
        <v>0</v>
      </c>
      <c r="H31" s="46">
        <v>1</v>
      </c>
      <c r="I31" s="46" t="s">
        <v>843</v>
      </c>
      <c r="J31" s="45" t="s">
        <v>844</v>
      </c>
      <c r="K31" s="46"/>
      <c r="L31" s="45" t="s">
        <v>839</v>
      </c>
      <c r="M31" s="46">
        <v>235</v>
      </c>
      <c r="N31" s="46" t="s">
        <v>845</v>
      </c>
      <c r="O31" s="46">
        <v>1</v>
      </c>
      <c r="P31" s="45" t="s">
        <v>841</v>
      </c>
      <c r="Q31" s="47" t="s">
        <v>776</v>
      </c>
      <c r="R31" s="45" t="s">
        <v>784</v>
      </c>
    </row>
    <row r="32" spans="1:18" ht="32.1" hidden="1" customHeight="1">
      <c r="A32" s="46">
        <v>2</v>
      </c>
      <c r="B32" s="45" t="s">
        <v>64</v>
      </c>
      <c r="C32" s="45" t="s">
        <v>10</v>
      </c>
      <c r="D32" s="45" t="s">
        <v>65</v>
      </c>
      <c r="E32" s="45" t="s">
        <v>838</v>
      </c>
      <c r="F32" s="46" t="s">
        <v>809</v>
      </c>
      <c r="G32" s="46">
        <v>0</v>
      </c>
      <c r="H32" s="46">
        <v>1</v>
      </c>
      <c r="I32" s="46" t="s">
        <v>780</v>
      </c>
      <c r="J32" s="45" t="s">
        <v>846</v>
      </c>
      <c r="K32" s="46" t="s">
        <v>819</v>
      </c>
      <c r="L32" s="45" t="s">
        <v>839</v>
      </c>
      <c r="M32" s="46">
        <v>236</v>
      </c>
      <c r="N32" s="46" t="s">
        <v>847</v>
      </c>
      <c r="O32" s="46">
        <v>1</v>
      </c>
      <c r="P32" s="45" t="s">
        <v>841</v>
      </c>
      <c r="Q32" s="47" t="s">
        <v>776</v>
      </c>
      <c r="R32" s="45" t="s">
        <v>784</v>
      </c>
    </row>
    <row r="33" spans="1:18" ht="32.1" hidden="1" customHeight="1">
      <c r="A33" s="48">
        <v>2</v>
      </c>
      <c r="B33" s="49" t="s">
        <v>64</v>
      </c>
      <c r="C33" s="49" t="s">
        <v>10</v>
      </c>
      <c r="D33" s="49" t="s">
        <v>65</v>
      </c>
      <c r="E33" s="49" t="s">
        <v>838</v>
      </c>
      <c r="F33" s="48" t="s">
        <v>848</v>
      </c>
      <c r="G33" s="48">
        <v>0</v>
      </c>
      <c r="H33" s="48">
        <v>1</v>
      </c>
      <c r="I33" s="48" t="s">
        <v>780</v>
      </c>
      <c r="J33" s="49" t="s">
        <v>849</v>
      </c>
      <c r="K33" s="48" t="s">
        <v>791</v>
      </c>
      <c r="L33" s="49" t="s">
        <v>839</v>
      </c>
      <c r="M33" s="48">
        <v>237</v>
      </c>
      <c r="N33" s="48" t="s">
        <v>850</v>
      </c>
      <c r="O33" s="48">
        <v>1</v>
      </c>
      <c r="P33" s="49" t="s">
        <v>841</v>
      </c>
      <c r="Q33" s="50" t="s">
        <v>851</v>
      </c>
      <c r="R33" s="49" t="s">
        <v>852</v>
      </c>
    </row>
    <row r="34" spans="1:18" ht="32.1" hidden="1" customHeight="1">
      <c r="A34" s="46">
        <v>3</v>
      </c>
      <c r="B34" s="45" t="s">
        <v>72</v>
      </c>
      <c r="C34" s="45" t="s">
        <v>15</v>
      </c>
      <c r="D34" s="45" t="s">
        <v>73</v>
      </c>
      <c r="E34" s="45" t="s">
        <v>853</v>
      </c>
      <c r="F34" s="46" t="s">
        <v>770</v>
      </c>
      <c r="G34" s="46">
        <v>42</v>
      </c>
      <c r="H34" s="46">
        <v>1</v>
      </c>
      <c r="I34" s="46" t="s">
        <v>854</v>
      </c>
      <c r="J34" s="45" t="s">
        <v>855</v>
      </c>
      <c r="K34" s="46"/>
      <c r="L34" s="45" t="s">
        <v>856</v>
      </c>
      <c r="M34" s="46">
        <v>139</v>
      </c>
      <c r="N34" s="46" t="s">
        <v>857</v>
      </c>
      <c r="O34" s="46">
        <v>1</v>
      </c>
      <c r="P34" s="45" t="s">
        <v>858</v>
      </c>
      <c r="Q34" s="47" t="s">
        <v>776</v>
      </c>
      <c r="R34" s="45" t="s">
        <v>784</v>
      </c>
    </row>
    <row r="35" spans="1:18" ht="32.1" hidden="1" customHeight="1">
      <c r="A35" s="46">
        <v>3</v>
      </c>
      <c r="B35" s="45" t="s">
        <v>72</v>
      </c>
      <c r="C35" s="45" t="s">
        <v>15</v>
      </c>
      <c r="D35" s="45" t="s">
        <v>73</v>
      </c>
      <c r="E35" s="45" t="s">
        <v>853</v>
      </c>
      <c r="F35" s="46" t="s">
        <v>842</v>
      </c>
      <c r="G35" s="46">
        <v>42</v>
      </c>
      <c r="H35" s="46">
        <v>1</v>
      </c>
      <c r="I35" s="46" t="s">
        <v>854</v>
      </c>
      <c r="J35" s="45" t="s">
        <v>859</v>
      </c>
      <c r="K35" s="46"/>
      <c r="L35" s="45" t="s">
        <v>856</v>
      </c>
      <c r="M35" s="46">
        <v>146</v>
      </c>
      <c r="N35" s="46" t="s">
        <v>857</v>
      </c>
      <c r="O35" s="46">
        <v>1</v>
      </c>
      <c r="P35" s="45" t="s">
        <v>858</v>
      </c>
      <c r="Q35" s="47" t="s">
        <v>776</v>
      </c>
      <c r="R35" s="45" t="s">
        <v>784</v>
      </c>
    </row>
    <row r="36" spans="1:18" ht="32.1" hidden="1" customHeight="1">
      <c r="A36" s="46">
        <v>3</v>
      </c>
      <c r="B36" s="45" t="s">
        <v>72</v>
      </c>
      <c r="C36" s="45" t="s">
        <v>15</v>
      </c>
      <c r="D36" s="45" t="s">
        <v>73</v>
      </c>
      <c r="E36" s="45" t="s">
        <v>860</v>
      </c>
      <c r="F36" s="46" t="s">
        <v>809</v>
      </c>
      <c r="G36" s="46">
        <v>692</v>
      </c>
      <c r="H36" s="46">
        <v>1</v>
      </c>
      <c r="I36" s="46" t="s">
        <v>780</v>
      </c>
      <c r="J36" s="45" t="s">
        <v>861</v>
      </c>
      <c r="K36" s="46" t="s">
        <v>829</v>
      </c>
      <c r="L36" s="45" t="s">
        <v>856</v>
      </c>
      <c r="M36" s="46">
        <v>153</v>
      </c>
      <c r="N36" s="46" t="s">
        <v>862</v>
      </c>
      <c r="O36" s="46">
        <v>1</v>
      </c>
      <c r="P36" s="45" t="s">
        <v>858</v>
      </c>
      <c r="Q36" s="47" t="s">
        <v>776</v>
      </c>
      <c r="R36" s="45" t="s">
        <v>784</v>
      </c>
    </row>
    <row r="37" spans="1:18" ht="32.1" hidden="1" customHeight="1">
      <c r="A37" s="46">
        <v>3</v>
      </c>
      <c r="B37" s="45" t="s">
        <v>72</v>
      </c>
      <c r="C37" s="45" t="s">
        <v>15</v>
      </c>
      <c r="D37" s="45" t="s">
        <v>73</v>
      </c>
      <c r="E37" s="45" t="s">
        <v>863</v>
      </c>
      <c r="F37" s="46" t="s">
        <v>848</v>
      </c>
      <c r="G37" s="46">
        <v>304</v>
      </c>
      <c r="H37" s="46">
        <v>1</v>
      </c>
      <c r="I37" s="46" t="s">
        <v>780</v>
      </c>
      <c r="J37" s="45" t="s">
        <v>799</v>
      </c>
      <c r="K37" s="46" t="s">
        <v>782</v>
      </c>
      <c r="L37" s="45" t="s">
        <v>856</v>
      </c>
      <c r="M37" s="46">
        <v>154</v>
      </c>
      <c r="N37" s="46" t="s">
        <v>800</v>
      </c>
      <c r="O37" s="46">
        <v>1</v>
      </c>
      <c r="P37" s="45" t="s">
        <v>858</v>
      </c>
      <c r="Q37" s="47" t="s">
        <v>776</v>
      </c>
      <c r="R37" s="45" t="s">
        <v>784</v>
      </c>
    </row>
    <row r="38" spans="1:18" ht="32.1" hidden="1" customHeight="1">
      <c r="A38" s="46">
        <v>3</v>
      </c>
      <c r="B38" s="45" t="s">
        <v>72</v>
      </c>
      <c r="C38" s="45" t="s">
        <v>15</v>
      </c>
      <c r="D38" s="45" t="s">
        <v>73</v>
      </c>
      <c r="E38" s="45" t="s">
        <v>864</v>
      </c>
      <c r="F38" s="46" t="s">
        <v>836</v>
      </c>
      <c r="G38" s="46">
        <v>314</v>
      </c>
      <c r="H38" s="46">
        <v>1</v>
      </c>
      <c r="I38" s="46" t="s">
        <v>780</v>
      </c>
      <c r="J38" s="45" t="s">
        <v>781</v>
      </c>
      <c r="K38" s="46" t="s">
        <v>865</v>
      </c>
      <c r="L38" s="45" t="s">
        <v>856</v>
      </c>
      <c r="M38" s="46">
        <v>155</v>
      </c>
      <c r="N38" s="46" t="s">
        <v>866</v>
      </c>
      <c r="O38" s="46">
        <v>1</v>
      </c>
      <c r="P38" s="45" t="s">
        <v>858</v>
      </c>
      <c r="Q38" s="47" t="s">
        <v>776</v>
      </c>
      <c r="R38" s="45" t="s">
        <v>784</v>
      </c>
    </row>
    <row r="39" spans="1:18" ht="32.1" hidden="1" customHeight="1">
      <c r="A39" s="46">
        <v>3</v>
      </c>
      <c r="B39" s="45" t="s">
        <v>72</v>
      </c>
      <c r="C39" s="45" t="s">
        <v>15</v>
      </c>
      <c r="D39" s="45" t="s">
        <v>73</v>
      </c>
      <c r="E39" s="45" t="s">
        <v>867</v>
      </c>
      <c r="F39" s="46" t="s">
        <v>798</v>
      </c>
      <c r="G39" s="46">
        <v>60</v>
      </c>
      <c r="H39" s="46">
        <v>1</v>
      </c>
      <c r="I39" s="46" t="s">
        <v>780</v>
      </c>
      <c r="J39" s="45" t="s">
        <v>868</v>
      </c>
      <c r="K39" s="46" t="s">
        <v>806</v>
      </c>
      <c r="L39" s="45" t="s">
        <v>856</v>
      </c>
      <c r="M39" s="46">
        <v>156</v>
      </c>
      <c r="N39" s="46" t="s">
        <v>869</v>
      </c>
      <c r="O39" s="46">
        <v>1</v>
      </c>
      <c r="P39" s="45" t="s">
        <v>858</v>
      </c>
      <c r="Q39" s="47" t="s">
        <v>776</v>
      </c>
      <c r="R39" s="45" t="s">
        <v>784</v>
      </c>
    </row>
    <row r="40" spans="1:18" ht="32.1" hidden="1" customHeight="1">
      <c r="A40" s="46">
        <v>3</v>
      </c>
      <c r="B40" s="45" t="s">
        <v>72</v>
      </c>
      <c r="C40" s="45" t="s">
        <v>15</v>
      </c>
      <c r="D40" s="45" t="s">
        <v>73</v>
      </c>
      <c r="E40" s="45" t="s">
        <v>870</v>
      </c>
      <c r="F40" s="46" t="s">
        <v>786</v>
      </c>
      <c r="G40" s="46">
        <v>763</v>
      </c>
      <c r="H40" s="46">
        <v>1</v>
      </c>
      <c r="I40" s="46" t="s">
        <v>780</v>
      </c>
      <c r="J40" s="45" t="s">
        <v>787</v>
      </c>
      <c r="K40" s="46" t="s">
        <v>795</v>
      </c>
      <c r="L40" s="45" t="s">
        <v>856</v>
      </c>
      <c r="M40" s="46">
        <v>157</v>
      </c>
      <c r="N40" s="46" t="s">
        <v>796</v>
      </c>
      <c r="O40" s="46">
        <v>1</v>
      </c>
      <c r="P40" s="45" t="s">
        <v>858</v>
      </c>
      <c r="Q40" s="47" t="s">
        <v>776</v>
      </c>
      <c r="R40" s="45" t="s">
        <v>784</v>
      </c>
    </row>
    <row r="41" spans="1:18" ht="32.1" hidden="1" customHeight="1">
      <c r="A41" s="46">
        <v>3</v>
      </c>
      <c r="B41" s="45" t="s">
        <v>72</v>
      </c>
      <c r="C41" s="45" t="s">
        <v>15</v>
      </c>
      <c r="D41" s="45" t="s">
        <v>73</v>
      </c>
      <c r="E41" s="45" t="s">
        <v>871</v>
      </c>
      <c r="F41" s="46" t="s">
        <v>802</v>
      </c>
      <c r="G41" s="46">
        <v>348</v>
      </c>
      <c r="H41" s="46">
        <v>1</v>
      </c>
      <c r="I41" s="46" t="s">
        <v>780</v>
      </c>
      <c r="J41" s="45" t="s">
        <v>787</v>
      </c>
      <c r="K41" s="46" t="s">
        <v>806</v>
      </c>
      <c r="L41" s="45" t="s">
        <v>856</v>
      </c>
      <c r="M41" s="46">
        <v>158</v>
      </c>
      <c r="N41" s="46" t="s">
        <v>872</v>
      </c>
      <c r="O41" s="46">
        <v>1</v>
      </c>
      <c r="P41" s="45" t="s">
        <v>858</v>
      </c>
      <c r="Q41" s="47" t="s">
        <v>776</v>
      </c>
      <c r="R41" s="45" t="s">
        <v>784</v>
      </c>
    </row>
    <row r="42" spans="1:18" ht="32.1" hidden="1" customHeight="1">
      <c r="A42" s="46">
        <v>3</v>
      </c>
      <c r="B42" s="45" t="s">
        <v>72</v>
      </c>
      <c r="C42" s="45" t="s">
        <v>15</v>
      </c>
      <c r="D42" s="45" t="s">
        <v>73</v>
      </c>
      <c r="E42" s="45" t="s">
        <v>873</v>
      </c>
      <c r="F42" s="46" t="s">
        <v>794</v>
      </c>
      <c r="G42" s="46">
        <v>18</v>
      </c>
      <c r="H42" s="46">
        <v>1</v>
      </c>
      <c r="I42" s="46" t="s">
        <v>780</v>
      </c>
      <c r="J42" s="45" t="s">
        <v>874</v>
      </c>
      <c r="K42" s="46" t="s">
        <v>782</v>
      </c>
      <c r="L42" s="45" t="s">
        <v>856</v>
      </c>
      <c r="M42" s="46">
        <v>159</v>
      </c>
      <c r="N42" s="46" t="s">
        <v>875</v>
      </c>
      <c r="O42" s="46">
        <v>1</v>
      </c>
      <c r="P42" s="45" t="s">
        <v>858</v>
      </c>
      <c r="Q42" s="47" t="s">
        <v>776</v>
      </c>
      <c r="R42" s="45" t="s">
        <v>784</v>
      </c>
    </row>
    <row r="43" spans="1:18" ht="32.1" hidden="1" customHeight="1">
      <c r="A43" s="46">
        <v>3</v>
      </c>
      <c r="B43" s="45" t="s">
        <v>72</v>
      </c>
      <c r="C43" s="45" t="s">
        <v>15</v>
      </c>
      <c r="D43" s="45" t="s">
        <v>73</v>
      </c>
      <c r="E43" s="45" t="s">
        <v>876</v>
      </c>
      <c r="F43" s="46" t="s">
        <v>804</v>
      </c>
      <c r="G43" s="46">
        <v>20</v>
      </c>
      <c r="H43" s="46">
        <v>1</v>
      </c>
      <c r="I43" s="46" t="s">
        <v>843</v>
      </c>
      <c r="J43" s="45" t="s">
        <v>877</v>
      </c>
      <c r="K43" s="46"/>
      <c r="L43" s="45" t="s">
        <v>856</v>
      </c>
      <c r="M43" s="46">
        <v>160</v>
      </c>
      <c r="N43" s="46" t="s">
        <v>845</v>
      </c>
      <c r="O43" s="46">
        <v>1</v>
      </c>
      <c r="P43" s="45" t="s">
        <v>858</v>
      </c>
      <c r="Q43" s="47" t="s">
        <v>776</v>
      </c>
      <c r="R43" s="45" t="s">
        <v>784</v>
      </c>
    </row>
    <row r="44" spans="1:18" ht="32.1" hidden="1" customHeight="1">
      <c r="A44" s="46">
        <v>3</v>
      </c>
      <c r="B44" s="45" t="s">
        <v>72</v>
      </c>
      <c r="C44" s="45" t="s">
        <v>15</v>
      </c>
      <c r="D44" s="45" t="s">
        <v>73</v>
      </c>
      <c r="E44" s="45" t="s">
        <v>878</v>
      </c>
      <c r="F44" s="46" t="s">
        <v>879</v>
      </c>
      <c r="G44" s="46">
        <v>38</v>
      </c>
      <c r="H44" s="46">
        <v>1</v>
      </c>
      <c r="I44" s="46" t="s">
        <v>843</v>
      </c>
      <c r="J44" s="45" t="s">
        <v>880</v>
      </c>
      <c r="K44" s="46"/>
      <c r="L44" s="45" t="s">
        <v>856</v>
      </c>
      <c r="M44" s="46">
        <v>161</v>
      </c>
      <c r="N44" s="46" t="s">
        <v>881</v>
      </c>
      <c r="O44" s="46">
        <v>1</v>
      </c>
      <c r="P44" s="45" t="s">
        <v>858</v>
      </c>
      <c r="Q44" s="47" t="s">
        <v>776</v>
      </c>
      <c r="R44" s="45" t="s">
        <v>784</v>
      </c>
    </row>
    <row r="45" spans="1:18" ht="32.1" hidden="1" customHeight="1">
      <c r="A45" s="46">
        <v>3</v>
      </c>
      <c r="B45" s="45" t="s">
        <v>72</v>
      </c>
      <c r="C45" s="45" t="s">
        <v>15</v>
      </c>
      <c r="D45" s="45" t="s">
        <v>73</v>
      </c>
      <c r="E45" s="45" t="s">
        <v>882</v>
      </c>
      <c r="F45" s="46" t="s">
        <v>883</v>
      </c>
      <c r="G45" s="46">
        <v>168</v>
      </c>
      <c r="H45" s="46">
        <v>1</v>
      </c>
      <c r="I45" s="46" t="s">
        <v>780</v>
      </c>
      <c r="J45" s="45" t="s">
        <v>884</v>
      </c>
      <c r="K45" s="46" t="s">
        <v>791</v>
      </c>
      <c r="L45" s="45" t="s">
        <v>856</v>
      </c>
      <c r="M45" s="46">
        <v>162</v>
      </c>
      <c r="N45" s="46" t="s">
        <v>885</v>
      </c>
      <c r="O45" s="46">
        <v>1</v>
      </c>
      <c r="P45" s="45" t="s">
        <v>858</v>
      </c>
      <c r="Q45" s="47" t="s">
        <v>776</v>
      </c>
      <c r="R45" s="45" t="s">
        <v>784</v>
      </c>
    </row>
    <row r="46" spans="1:18" ht="32.1" hidden="1" customHeight="1">
      <c r="A46" s="46">
        <v>3</v>
      </c>
      <c r="B46" s="45" t="s">
        <v>72</v>
      </c>
      <c r="C46" s="45" t="s">
        <v>15</v>
      </c>
      <c r="D46" s="45" t="s">
        <v>73</v>
      </c>
      <c r="E46" s="45" t="s">
        <v>886</v>
      </c>
      <c r="F46" s="46" t="s">
        <v>887</v>
      </c>
      <c r="G46" s="46">
        <v>786</v>
      </c>
      <c r="H46" s="46">
        <v>1</v>
      </c>
      <c r="I46" s="46" t="s">
        <v>780</v>
      </c>
      <c r="J46" s="45" t="s">
        <v>888</v>
      </c>
      <c r="K46" s="46" t="s">
        <v>826</v>
      </c>
      <c r="L46" s="45" t="s">
        <v>856</v>
      </c>
      <c r="M46" s="46">
        <v>163</v>
      </c>
      <c r="N46" s="46" t="s">
        <v>889</v>
      </c>
      <c r="O46" s="46">
        <v>2</v>
      </c>
      <c r="P46" s="45" t="s">
        <v>858</v>
      </c>
      <c r="Q46" s="47" t="s">
        <v>776</v>
      </c>
      <c r="R46" s="45" t="s">
        <v>784</v>
      </c>
    </row>
    <row r="47" spans="1:18" ht="32.1" hidden="1" customHeight="1">
      <c r="A47" s="46">
        <v>3</v>
      </c>
      <c r="B47" s="45" t="s">
        <v>72</v>
      </c>
      <c r="C47" s="45" t="s">
        <v>15</v>
      </c>
      <c r="D47" s="45" t="s">
        <v>73</v>
      </c>
      <c r="E47" s="45" t="s">
        <v>890</v>
      </c>
      <c r="F47" s="46" t="s">
        <v>891</v>
      </c>
      <c r="G47" s="46">
        <v>121</v>
      </c>
      <c r="H47" s="46">
        <v>1</v>
      </c>
      <c r="I47" s="46" t="s">
        <v>780</v>
      </c>
      <c r="J47" s="45" t="s">
        <v>892</v>
      </c>
      <c r="K47" s="46" t="s">
        <v>813</v>
      </c>
      <c r="L47" s="45" t="s">
        <v>856</v>
      </c>
      <c r="M47" s="46">
        <v>164</v>
      </c>
      <c r="N47" s="46" t="s">
        <v>893</v>
      </c>
      <c r="O47" s="46">
        <v>1</v>
      </c>
      <c r="P47" s="45" t="s">
        <v>858</v>
      </c>
      <c r="Q47" s="47" t="s">
        <v>776</v>
      </c>
      <c r="R47" s="45" t="s">
        <v>784</v>
      </c>
    </row>
    <row r="48" spans="1:18" ht="32.1" hidden="1" customHeight="1">
      <c r="A48" s="46">
        <v>3</v>
      </c>
      <c r="B48" s="45" t="s">
        <v>72</v>
      </c>
      <c r="C48" s="45" t="s">
        <v>15</v>
      </c>
      <c r="D48" s="45" t="s">
        <v>73</v>
      </c>
      <c r="E48" s="45" t="s">
        <v>894</v>
      </c>
      <c r="F48" s="46" t="s">
        <v>895</v>
      </c>
      <c r="G48" s="46">
        <v>126</v>
      </c>
      <c r="H48" s="46">
        <v>1</v>
      </c>
      <c r="I48" s="46" t="s">
        <v>780</v>
      </c>
      <c r="J48" s="45" t="s">
        <v>892</v>
      </c>
      <c r="K48" s="46" t="s">
        <v>815</v>
      </c>
      <c r="L48" s="45" t="s">
        <v>856</v>
      </c>
      <c r="M48" s="46">
        <v>165</v>
      </c>
      <c r="N48" s="46" t="s">
        <v>896</v>
      </c>
      <c r="O48" s="46">
        <v>1</v>
      </c>
      <c r="P48" s="45" t="s">
        <v>858</v>
      </c>
      <c r="Q48" s="47" t="s">
        <v>776</v>
      </c>
      <c r="R48" s="45" t="s">
        <v>784</v>
      </c>
    </row>
    <row r="49" spans="1:18" ht="32.1" hidden="1" customHeight="1">
      <c r="A49" s="46">
        <v>3</v>
      </c>
      <c r="B49" s="45" t="s">
        <v>72</v>
      </c>
      <c r="C49" s="45" t="s">
        <v>15</v>
      </c>
      <c r="D49" s="45" t="s">
        <v>73</v>
      </c>
      <c r="E49" s="45" t="s">
        <v>897</v>
      </c>
      <c r="F49" s="46" t="s">
        <v>898</v>
      </c>
      <c r="G49" s="46">
        <v>480</v>
      </c>
      <c r="H49" s="46">
        <v>1</v>
      </c>
      <c r="I49" s="46" t="s">
        <v>780</v>
      </c>
      <c r="J49" s="45" t="s">
        <v>892</v>
      </c>
      <c r="K49" s="46" t="s">
        <v>817</v>
      </c>
      <c r="L49" s="45" t="s">
        <v>856</v>
      </c>
      <c r="M49" s="46">
        <v>166</v>
      </c>
      <c r="N49" s="46" t="s">
        <v>899</v>
      </c>
      <c r="O49" s="46">
        <v>1</v>
      </c>
      <c r="P49" s="45" t="s">
        <v>858</v>
      </c>
      <c r="Q49" s="47" t="s">
        <v>776</v>
      </c>
      <c r="R49" s="45" t="s">
        <v>784</v>
      </c>
    </row>
    <row r="50" spans="1:18" ht="32.1" hidden="1" customHeight="1">
      <c r="A50" s="46">
        <v>3</v>
      </c>
      <c r="B50" s="45" t="s">
        <v>72</v>
      </c>
      <c r="C50" s="45" t="s">
        <v>15</v>
      </c>
      <c r="D50" s="45" t="s">
        <v>73</v>
      </c>
      <c r="E50" s="45" t="s">
        <v>900</v>
      </c>
      <c r="F50" s="46" t="s">
        <v>901</v>
      </c>
      <c r="G50" s="46">
        <v>96</v>
      </c>
      <c r="H50" s="46">
        <v>1</v>
      </c>
      <c r="I50" s="46" t="s">
        <v>780</v>
      </c>
      <c r="J50" s="45" t="s">
        <v>799</v>
      </c>
      <c r="K50" s="46" t="s">
        <v>824</v>
      </c>
      <c r="L50" s="45" t="s">
        <v>856</v>
      </c>
      <c r="M50" s="46">
        <v>167</v>
      </c>
      <c r="N50" s="46" t="s">
        <v>902</v>
      </c>
      <c r="O50" s="46">
        <v>1</v>
      </c>
      <c r="P50" s="45" t="s">
        <v>858</v>
      </c>
      <c r="Q50" s="47" t="s">
        <v>776</v>
      </c>
      <c r="R50" s="45" t="s">
        <v>784</v>
      </c>
    </row>
    <row r="51" spans="1:18" ht="32.1" hidden="1" customHeight="1">
      <c r="A51" s="46">
        <v>3</v>
      </c>
      <c r="B51" s="45" t="s">
        <v>72</v>
      </c>
      <c r="C51" s="45" t="s">
        <v>15</v>
      </c>
      <c r="D51" s="45" t="s">
        <v>73</v>
      </c>
      <c r="E51" s="45" t="s">
        <v>903</v>
      </c>
      <c r="F51" s="46" t="s">
        <v>904</v>
      </c>
      <c r="G51" s="46">
        <v>2</v>
      </c>
      <c r="H51" s="46">
        <v>1</v>
      </c>
      <c r="I51" s="46" t="s">
        <v>780</v>
      </c>
      <c r="J51" s="45" t="s">
        <v>892</v>
      </c>
      <c r="K51" s="46" t="s">
        <v>813</v>
      </c>
      <c r="L51" s="45" t="s">
        <v>856</v>
      </c>
      <c r="M51" s="46">
        <v>168</v>
      </c>
      <c r="N51" s="46" t="s">
        <v>893</v>
      </c>
      <c r="O51" s="46">
        <v>1</v>
      </c>
      <c r="P51" s="45" t="s">
        <v>858</v>
      </c>
      <c r="Q51" s="47" t="s">
        <v>776</v>
      </c>
      <c r="R51" s="45" t="s">
        <v>784</v>
      </c>
    </row>
    <row r="52" spans="1:18" ht="32.1" hidden="1" customHeight="1">
      <c r="A52" s="46">
        <v>3</v>
      </c>
      <c r="B52" s="45" t="s">
        <v>72</v>
      </c>
      <c r="C52" s="45" t="s">
        <v>15</v>
      </c>
      <c r="D52" s="45" t="s">
        <v>73</v>
      </c>
      <c r="E52" s="45" t="s">
        <v>903</v>
      </c>
      <c r="F52" s="46" t="s">
        <v>779</v>
      </c>
      <c r="G52" s="46">
        <v>2</v>
      </c>
      <c r="H52" s="46">
        <v>1</v>
      </c>
      <c r="I52" s="46" t="s">
        <v>780</v>
      </c>
      <c r="J52" s="45" t="s">
        <v>892</v>
      </c>
      <c r="K52" s="46" t="s">
        <v>813</v>
      </c>
      <c r="L52" s="45" t="s">
        <v>856</v>
      </c>
      <c r="M52" s="46">
        <v>175</v>
      </c>
      <c r="N52" s="46" t="s">
        <v>893</v>
      </c>
      <c r="O52" s="46">
        <v>1</v>
      </c>
      <c r="P52" s="45" t="s">
        <v>858</v>
      </c>
      <c r="Q52" s="47" t="s">
        <v>776</v>
      </c>
      <c r="R52" s="45" t="s">
        <v>784</v>
      </c>
    </row>
    <row r="53" spans="1:18" ht="32.1" hidden="1" customHeight="1">
      <c r="A53" s="46">
        <v>3</v>
      </c>
      <c r="B53" s="45" t="s">
        <v>72</v>
      </c>
      <c r="C53" s="45" t="s">
        <v>15</v>
      </c>
      <c r="D53" s="45" t="s">
        <v>73</v>
      </c>
      <c r="E53" s="45" t="s">
        <v>903</v>
      </c>
      <c r="F53" s="46" t="s">
        <v>905</v>
      </c>
      <c r="G53" s="46">
        <v>2</v>
      </c>
      <c r="H53" s="46">
        <v>1</v>
      </c>
      <c r="I53" s="46" t="s">
        <v>780</v>
      </c>
      <c r="J53" s="45" t="s">
        <v>892</v>
      </c>
      <c r="K53" s="46" t="s">
        <v>813</v>
      </c>
      <c r="L53" s="45" t="s">
        <v>856</v>
      </c>
      <c r="M53" s="46">
        <v>182</v>
      </c>
      <c r="N53" s="46" t="s">
        <v>893</v>
      </c>
      <c r="O53" s="46">
        <v>1</v>
      </c>
      <c r="P53" s="45" t="s">
        <v>858</v>
      </c>
      <c r="Q53" s="47" t="s">
        <v>776</v>
      </c>
      <c r="R53" s="45" t="s">
        <v>784</v>
      </c>
    </row>
    <row r="54" spans="1:18" ht="32.1" hidden="1" customHeight="1">
      <c r="A54" s="46">
        <v>3</v>
      </c>
      <c r="B54" s="45" t="s">
        <v>72</v>
      </c>
      <c r="C54" s="45" t="s">
        <v>15</v>
      </c>
      <c r="D54" s="45" t="s">
        <v>73</v>
      </c>
      <c r="E54" s="45" t="s">
        <v>903</v>
      </c>
      <c r="F54" s="46" t="s">
        <v>906</v>
      </c>
      <c r="G54" s="46">
        <v>2</v>
      </c>
      <c r="H54" s="46">
        <v>1</v>
      </c>
      <c r="I54" s="46" t="s">
        <v>780</v>
      </c>
      <c r="J54" s="45" t="s">
        <v>892</v>
      </c>
      <c r="K54" s="46" t="s">
        <v>813</v>
      </c>
      <c r="L54" s="45" t="s">
        <v>856</v>
      </c>
      <c r="M54" s="46">
        <v>189</v>
      </c>
      <c r="N54" s="46" t="s">
        <v>893</v>
      </c>
      <c r="O54" s="46">
        <v>1</v>
      </c>
      <c r="P54" s="45" t="s">
        <v>858</v>
      </c>
      <c r="Q54" s="47" t="s">
        <v>776</v>
      </c>
      <c r="R54" s="45" t="s">
        <v>784</v>
      </c>
    </row>
    <row r="55" spans="1:18" ht="32.1" hidden="1" customHeight="1">
      <c r="A55" s="46">
        <v>4</v>
      </c>
      <c r="B55" s="45" t="s">
        <v>80</v>
      </c>
      <c r="C55" s="45" t="s">
        <v>18</v>
      </c>
      <c r="D55" s="45" t="s">
        <v>81</v>
      </c>
      <c r="E55" s="45" t="s">
        <v>907</v>
      </c>
      <c r="F55" s="46" t="s">
        <v>770</v>
      </c>
      <c r="G55" s="46">
        <v>2504</v>
      </c>
      <c r="H55" s="46">
        <v>1</v>
      </c>
      <c r="I55" s="46" t="s">
        <v>771</v>
      </c>
      <c r="J55" s="45" t="s">
        <v>772</v>
      </c>
      <c r="K55" s="46"/>
      <c r="L55" s="45" t="s">
        <v>908</v>
      </c>
      <c r="M55" s="46">
        <v>404</v>
      </c>
      <c r="N55" s="46" t="s">
        <v>774</v>
      </c>
      <c r="O55" s="46">
        <v>50</v>
      </c>
      <c r="P55" s="45" t="s">
        <v>909</v>
      </c>
      <c r="Q55" s="47" t="s">
        <v>776</v>
      </c>
      <c r="R55" s="45" t="s">
        <v>777</v>
      </c>
    </row>
    <row r="56" spans="1:18" ht="32.1" hidden="1" customHeight="1">
      <c r="A56" s="46">
        <v>4</v>
      </c>
      <c r="B56" s="45" t="s">
        <v>80</v>
      </c>
      <c r="C56" s="45" t="s">
        <v>18</v>
      </c>
      <c r="D56" s="45" t="s">
        <v>81</v>
      </c>
      <c r="E56" s="45" t="s">
        <v>910</v>
      </c>
      <c r="F56" s="46" t="s">
        <v>842</v>
      </c>
      <c r="G56" s="46">
        <v>994</v>
      </c>
      <c r="H56" s="46">
        <v>1</v>
      </c>
      <c r="I56" s="46" t="s">
        <v>780</v>
      </c>
      <c r="J56" s="45" t="s">
        <v>911</v>
      </c>
      <c r="K56" s="46" t="s">
        <v>826</v>
      </c>
      <c r="L56" s="45" t="s">
        <v>908</v>
      </c>
      <c r="M56" s="46">
        <v>405</v>
      </c>
      <c r="N56" s="46" t="s">
        <v>912</v>
      </c>
      <c r="O56" s="46">
        <v>1</v>
      </c>
      <c r="P56" s="45" t="s">
        <v>909</v>
      </c>
      <c r="Q56" s="47" t="s">
        <v>776</v>
      </c>
      <c r="R56" s="45" t="s">
        <v>784</v>
      </c>
    </row>
    <row r="57" spans="1:18" ht="32.1" hidden="1" customHeight="1">
      <c r="A57" s="46">
        <v>4</v>
      </c>
      <c r="B57" s="45" t="s">
        <v>80</v>
      </c>
      <c r="C57" s="45" t="s">
        <v>18</v>
      </c>
      <c r="D57" s="45" t="s">
        <v>81</v>
      </c>
      <c r="E57" s="45" t="s">
        <v>913</v>
      </c>
      <c r="F57" s="46" t="s">
        <v>809</v>
      </c>
      <c r="G57" s="46">
        <v>872</v>
      </c>
      <c r="H57" s="46">
        <v>1</v>
      </c>
      <c r="I57" s="46" t="s">
        <v>780</v>
      </c>
      <c r="J57" s="45" t="s">
        <v>911</v>
      </c>
      <c r="K57" s="46" t="s">
        <v>806</v>
      </c>
      <c r="L57" s="45" t="s">
        <v>908</v>
      </c>
      <c r="M57" s="46">
        <v>406</v>
      </c>
      <c r="N57" s="46" t="s">
        <v>914</v>
      </c>
      <c r="O57" s="46">
        <v>1</v>
      </c>
      <c r="P57" s="45" t="s">
        <v>909</v>
      </c>
      <c r="Q57" s="47" t="s">
        <v>776</v>
      </c>
      <c r="R57" s="45" t="s">
        <v>784</v>
      </c>
    </row>
    <row r="58" spans="1:18" ht="32.1" hidden="1" customHeight="1">
      <c r="A58" s="46">
        <v>4</v>
      </c>
      <c r="B58" s="45" t="s">
        <v>80</v>
      </c>
      <c r="C58" s="45" t="s">
        <v>18</v>
      </c>
      <c r="D58" s="45" t="s">
        <v>81</v>
      </c>
      <c r="E58" s="45" t="s">
        <v>915</v>
      </c>
      <c r="F58" s="46" t="s">
        <v>848</v>
      </c>
      <c r="G58" s="46">
        <v>1150</v>
      </c>
      <c r="H58" s="46">
        <v>1</v>
      </c>
      <c r="I58" s="46" t="s">
        <v>780</v>
      </c>
      <c r="J58" s="45" t="s">
        <v>916</v>
      </c>
      <c r="K58" s="46" t="s">
        <v>806</v>
      </c>
      <c r="L58" s="45" t="s">
        <v>908</v>
      </c>
      <c r="M58" s="46">
        <v>407</v>
      </c>
      <c r="N58" s="46" t="s">
        <v>917</v>
      </c>
      <c r="O58" s="46">
        <v>1</v>
      </c>
      <c r="P58" s="45" t="s">
        <v>909</v>
      </c>
      <c r="Q58" s="47" t="s">
        <v>776</v>
      </c>
      <c r="R58" s="45" t="s">
        <v>784</v>
      </c>
    </row>
    <row r="59" spans="1:18" ht="32.1" hidden="1" customHeight="1">
      <c r="A59" s="46">
        <v>4</v>
      </c>
      <c r="B59" s="45" t="s">
        <v>80</v>
      </c>
      <c r="C59" s="45" t="s">
        <v>18</v>
      </c>
      <c r="D59" s="45" t="s">
        <v>81</v>
      </c>
      <c r="E59" s="45" t="s">
        <v>918</v>
      </c>
      <c r="F59" s="46" t="s">
        <v>919</v>
      </c>
      <c r="G59" s="46">
        <v>1150</v>
      </c>
      <c r="H59" s="46">
        <v>1</v>
      </c>
      <c r="I59" s="46" t="s">
        <v>780</v>
      </c>
      <c r="J59" s="45" t="s">
        <v>781</v>
      </c>
      <c r="K59" s="46" t="s">
        <v>782</v>
      </c>
      <c r="L59" s="45" t="s">
        <v>908</v>
      </c>
      <c r="M59" s="46">
        <v>408</v>
      </c>
      <c r="N59" s="46" t="s">
        <v>783</v>
      </c>
      <c r="O59" s="46">
        <v>1</v>
      </c>
      <c r="P59" s="45" t="s">
        <v>909</v>
      </c>
      <c r="Q59" s="47" t="s">
        <v>776</v>
      </c>
      <c r="R59" s="45" t="s">
        <v>784</v>
      </c>
    </row>
    <row r="60" spans="1:18" ht="32.1" hidden="1" customHeight="1">
      <c r="A60" s="46">
        <v>4</v>
      </c>
      <c r="B60" s="45" t="s">
        <v>80</v>
      </c>
      <c r="C60" s="45" t="s">
        <v>18</v>
      </c>
      <c r="D60" s="45" t="s">
        <v>81</v>
      </c>
      <c r="E60" s="45" t="s">
        <v>920</v>
      </c>
      <c r="F60" s="46" t="s">
        <v>836</v>
      </c>
      <c r="G60" s="46">
        <v>352</v>
      </c>
      <c r="H60" s="46">
        <v>1</v>
      </c>
      <c r="I60" s="46" t="s">
        <v>780</v>
      </c>
      <c r="J60" s="45" t="s">
        <v>787</v>
      </c>
      <c r="K60" s="46" t="s">
        <v>819</v>
      </c>
      <c r="L60" s="45" t="s">
        <v>908</v>
      </c>
      <c r="M60" s="46">
        <v>409</v>
      </c>
      <c r="N60" s="46" t="s">
        <v>921</v>
      </c>
      <c r="O60" s="46">
        <v>1</v>
      </c>
      <c r="P60" s="45" t="s">
        <v>909</v>
      </c>
      <c r="Q60" s="47" t="s">
        <v>776</v>
      </c>
      <c r="R60" s="45" t="s">
        <v>784</v>
      </c>
    </row>
    <row r="61" spans="1:18" ht="32.1" hidden="1" customHeight="1">
      <c r="A61" s="46">
        <v>4</v>
      </c>
      <c r="B61" s="45" t="s">
        <v>80</v>
      </c>
      <c r="C61" s="45" t="s">
        <v>18</v>
      </c>
      <c r="D61" s="45" t="s">
        <v>81</v>
      </c>
      <c r="E61" s="45" t="s">
        <v>922</v>
      </c>
      <c r="F61" s="46" t="s">
        <v>798</v>
      </c>
      <c r="G61" s="46">
        <v>104</v>
      </c>
      <c r="H61" s="46">
        <v>1</v>
      </c>
      <c r="I61" s="46" t="s">
        <v>780</v>
      </c>
      <c r="J61" s="45" t="s">
        <v>787</v>
      </c>
      <c r="K61" s="46" t="s">
        <v>806</v>
      </c>
      <c r="L61" s="45" t="s">
        <v>908</v>
      </c>
      <c r="M61" s="46">
        <v>410</v>
      </c>
      <c r="N61" s="46" t="s">
        <v>872</v>
      </c>
      <c r="O61" s="46">
        <v>1</v>
      </c>
      <c r="P61" s="45" t="s">
        <v>909</v>
      </c>
      <c r="Q61" s="47" t="s">
        <v>776</v>
      </c>
      <c r="R61" s="45" t="s">
        <v>784</v>
      </c>
    </row>
    <row r="62" spans="1:18" ht="32.1" hidden="1" customHeight="1">
      <c r="A62" s="46">
        <v>4</v>
      </c>
      <c r="B62" s="45" t="s">
        <v>80</v>
      </c>
      <c r="C62" s="45" t="s">
        <v>18</v>
      </c>
      <c r="D62" s="45" t="s">
        <v>81</v>
      </c>
      <c r="E62" s="45" t="s">
        <v>923</v>
      </c>
      <c r="F62" s="46" t="s">
        <v>786</v>
      </c>
      <c r="G62" s="46">
        <v>650</v>
      </c>
      <c r="H62" s="46">
        <v>1</v>
      </c>
      <c r="I62" s="46" t="s">
        <v>780</v>
      </c>
      <c r="J62" s="45" t="s">
        <v>874</v>
      </c>
      <c r="K62" s="46" t="s">
        <v>782</v>
      </c>
      <c r="L62" s="45" t="s">
        <v>908</v>
      </c>
      <c r="M62" s="46">
        <v>411</v>
      </c>
      <c r="N62" s="46" t="s">
        <v>875</v>
      </c>
      <c r="O62" s="46">
        <v>1</v>
      </c>
      <c r="P62" s="45" t="s">
        <v>909</v>
      </c>
      <c r="Q62" s="47" t="s">
        <v>776</v>
      </c>
      <c r="R62" s="45" t="s">
        <v>784</v>
      </c>
    </row>
    <row r="63" spans="1:18" ht="32.1" hidden="1" customHeight="1">
      <c r="A63" s="46">
        <v>4</v>
      </c>
      <c r="B63" s="45" t="s">
        <v>80</v>
      </c>
      <c r="C63" s="45" t="s">
        <v>18</v>
      </c>
      <c r="D63" s="45" t="s">
        <v>81</v>
      </c>
      <c r="E63" s="45" t="s">
        <v>924</v>
      </c>
      <c r="F63" s="46" t="s">
        <v>802</v>
      </c>
      <c r="G63" s="46">
        <v>759</v>
      </c>
      <c r="H63" s="46">
        <v>1</v>
      </c>
      <c r="I63" s="46" t="s">
        <v>780</v>
      </c>
      <c r="J63" s="45" t="s">
        <v>925</v>
      </c>
      <c r="K63" s="46" t="s">
        <v>926</v>
      </c>
      <c r="L63" s="45" t="s">
        <v>908</v>
      </c>
      <c r="M63" s="46">
        <v>412</v>
      </c>
      <c r="N63" s="46" t="s">
        <v>927</v>
      </c>
      <c r="O63" s="46">
        <v>1</v>
      </c>
      <c r="P63" s="45" t="s">
        <v>909</v>
      </c>
      <c r="Q63" s="47" t="s">
        <v>776</v>
      </c>
      <c r="R63" s="45" t="s">
        <v>784</v>
      </c>
    </row>
    <row r="64" spans="1:18" ht="32.1" hidden="1" customHeight="1">
      <c r="A64" s="46">
        <v>4</v>
      </c>
      <c r="B64" s="45" t="s">
        <v>80</v>
      </c>
      <c r="C64" s="45" t="s">
        <v>18</v>
      </c>
      <c r="D64" s="45" t="s">
        <v>81</v>
      </c>
      <c r="E64" s="45" t="s">
        <v>928</v>
      </c>
      <c r="F64" s="46" t="s">
        <v>929</v>
      </c>
      <c r="G64" s="46">
        <v>759</v>
      </c>
      <c r="H64" s="46">
        <v>1</v>
      </c>
      <c r="I64" s="46" t="s">
        <v>780</v>
      </c>
      <c r="J64" s="45" t="s">
        <v>911</v>
      </c>
      <c r="K64" s="46" t="s">
        <v>833</v>
      </c>
      <c r="L64" s="45" t="s">
        <v>908</v>
      </c>
      <c r="M64" s="46">
        <v>413</v>
      </c>
      <c r="N64" s="46" t="s">
        <v>930</v>
      </c>
      <c r="O64" s="46">
        <v>1</v>
      </c>
      <c r="P64" s="45" t="s">
        <v>909</v>
      </c>
      <c r="Q64" s="47" t="s">
        <v>776</v>
      </c>
      <c r="R64" s="45" t="s">
        <v>784</v>
      </c>
    </row>
    <row r="65" spans="1:18" ht="32.1" hidden="1" customHeight="1">
      <c r="A65" s="46">
        <v>4</v>
      </c>
      <c r="B65" s="45" t="s">
        <v>80</v>
      </c>
      <c r="C65" s="45" t="s">
        <v>18</v>
      </c>
      <c r="D65" s="45" t="s">
        <v>81</v>
      </c>
      <c r="E65" s="45" t="s">
        <v>931</v>
      </c>
      <c r="F65" s="46" t="s">
        <v>794</v>
      </c>
      <c r="G65" s="46">
        <v>472</v>
      </c>
      <c r="H65" s="46">
        <v>1</v>
      </c>
      <c r="I65" s="46" t="s">
        <v>780</v>
      </c>
      <c r="J65" s="45" t="s">
        <v>932</v>
      </c>
      <c r="K65" s="46" t="s">
        <v>824</v>
      </c>
      <c r="L65" s="45" t="s">
        <v>908</v>
      </c>
      <c r="M65" s="46">
        <v>414</v>
      </c>
      <c r="N65" s="46" t="s">
        <v>933</v>
      </c>
      <c r="O65" s="46">
        <v>1</v>
      </c>
      <c r="P65" s="45" t="s">
        <v>909</v>
      </c>
      <c r="Q65" s="47" t="s">
        <v>776</v>
      </c>
      <c r="R65" s="45" t="s">
        <v>784</v>
      </c>
    </row>
    <row r="66" spans="1:18" ht="32.1" customHeight="1">
      <c r="A66" s="48">
        <v>4</v>
      </c>
      <c r="B66" s="49" t="s">
        <v>80</v>
      </c>
      <c r="C66" s="49" t="s">
        <v>18</v>
      </c>
      <c r="D66" s="49" t="s">
        <v>81</v>
      </c>
      <c r="E66" s="49" t="s">
        <v>934</v>
      </c>
      <c r="F66" s="48" t="s">
        <v>804</v>
      </c>
      <c r="G66" s="48">
        <v>144</v>
      </c>
      <c r="H66" s="48">
        <v>1</v>
      </c>
      <c r="I66" s="48" t="s">
        <v>780</v>
      </c>
      <c r="J66" s="49" t="s">
        <v>935</v>
      </c>
      <c r="K66" s="48" t="s">
        <v>936</v>
      </c>
      <c r="L66" s="49" t="s">
        <v>908</v>
      </c>
      <c r="M66" s="48">
        <v>415</v>
      </c>
      <c r="N66" s="48" t="s">
        <v>937</v>
      </c>
      <c r="O66" s="48">
        <v>1</v>
      </c>
      <c r="P66" s="49" t="s">
        <v>909</v>
      </c>
      <c r="Q66" s="51" t="s">
        <v>938</v>
      </c>
      <c r="R66" s="49" t="s">
        <v>939</v>
      </c>
    </row>
    <row r="67" spans="1:18" ht="32.1" customHeight="1">
      <c r="A67" s="48">
        <v>4</v>
      </c>
      <c r="B67" s="49" t="s">
        <v>80</v>
      </c>
      <c r="C67" s="49" t="s">
        <v>18</v>
      </c>
      <c r="D67" s="49" t="s">
        <v>81</v>
      </c>
      <c r="E67" s="49" t="s">
        <v>940</v>
      </c>
      <c r="F67" s="48" t="s">
        <v>879</v>
      </c>
      <c r="G67" s="48">
        <v>216</v>
      </c>
      <c r="H67" s="48">
        <v>1</v>
      </c>
      <c r="I67" s="48" t="s">
        <v>780</v>
      </c>
      <c r="J67" s="49" t="s">
        <v>941</v>
      </c>
      <c r="K67" s="48" t="s">
        <v>942</v>
      </c>
      <c r="L67" s="49" t="s">
        <v>908</v>
      </c>
      <c r="M67" s="48">
        <v>418</v>
      </c>
      <c r="N67" s="48" t="s">
        <v>943</v>
      </c>
      <c r="O67" s="48">
        <v>1</v>
      </c>
      <c r="P67" s="49" t="s">
        <v>909</v>
      </c>
      <c r="Q67" s="51" t="s">
        <v>938</v>
      </c>
      <c r="R67" s="49" t="s">
        <v>944</v>
      </c>
    </row>
    <row r="68" spans="1:18" ht="32.1" customHeight="1">
      <c r="A68" s="48">
        <v>4</v>
      </c>
      <c r="B68" s="49" t="s">
        <v>80</v>
      </c>
      <c r="C68" s="49" t="s">
        <v>18</v>
      </c>
      <c r="D68" s="49" t="s">
        <v>81</v>
      </c>
      <c r="E68" s="49" t="s">
        <v>945</v>
      </c>
      <c r="F68" s="48" t="s">
        <v>883</v>
      </c>
      <c r="G68" s="48">
        <v>60</v>
      </c>
      <c r="H68" s="48">
        <v>1</v>
      </c>
      <c r="I68" s="48" t="s">
        <v>780</v>
      </c>
      <c r="J68" s="49" t="s">
        <v>946</v>
      </c>
      <c r="K68" s="48" t="s">
        <v>947</v>
      </c>
      <c r="L68" s="49" t="s">
        <v>908</v>
      </c>
      <c r="M68" s="48">
        <v>421</v>
      </c>
      <c r="N68" s="48" t="s">
        <v>948</v>
      </c>
      <c r="O68" s="48">
        <v>1</v>
      </c>
      <c r="P68" s="49" t="s">
        <v>909</v>
      </c>
      <c r="Q68" s="51" t="s">
        <v>938</v>
      </c>
      <c r="R68" s="49" t="s">
        <v>949</v>
      </c>
    </row>
    <row r="69" spans="1:18" ht="32.1" customHeight="1">
      <c r="A69" s="48">
        <v>4</v>
      </c>
      <c r="B69" s="49" t="s">
        <v>80</v>
      </c>
      <c r="C69" s="49" t="s">
        <v>18</v>
      </c>
      <c r="D69" s="49" t="s">
        <v>81</v>
      </c>
      <c r="E69" s="49" t="s">
        <v>950</v>
      </c>
      <c r="F69" s="48" t="s">
        <v>887</v>
      </c>
      <c r="G69" s="48">
        <v>540</v>
      </c>
      <c r="H69" s="48">
        <v>1</v>
      </c>
      <c r="I69" s="48" t="s">
        <v>780</v>
      </c>
      <c r="J69" s="49" t="s">
        <v>951</v>
      </c>
      <c r="K69" s="48" t="s">
        <v>952</v>
      </c>
      <c r="L69" s="49" t="s">
        <v>908</v>
      </c>
      <c r="M69" s="48">
        <v>426</v>
      </c>
      <c r="N69" s="48" t="s">
        <v>953</v>
      </c>
      <c r="O69" s="48">
        <v>1</v>
      </c>
      <c r="P69" s="49" t="s">
        <v>909</v>
      </c>
      <c r="Q69" s="51" t="s">
        <v>938</v>
      </c>
      <c r="R69" s="49" t="s">
        <v>954</v>
      </c>
    </row>
    <row r="70" spans="1:18" ht="32.1" customHeight="1">
      <c r="A70" s="48">
        <v>4</v>
      </c>
      <c r="B70" s="49" t="s">
        <v>80</v>
      </c>
      <c r="C70" s="49" t="s">
        <v>18</v>
      </c>
      <c r="D70" s="49" t="s">
        <v>81</v>
      </c>
      <c r="E70" s="49" t="s">
        <v>955</v>
      </c>
      <c r="F70" s="48" t="s">
        <v>891</v>
      </c>
      <c r="G70" s="48">
        <v>1760</v>
      </c>
      <c r="H70" s="48">
        <v>1</v>
      </c>
      <c r="I70" s="48" t="s">
        <v>780</v>
      </c>
      <c r="J70" s="49" t="s">
        <v>956</v>
      </c>
      <c r="K70" s="48" t="s">
        <v>957</v>
      </c>
      <c r="L70" s="49" t="s">
        <v>908</v>
      </c>
      <c r="M70" s="48">
        <v>431</v>
      </c>
      <c r="N70" s="48" t="s">
        <v>958</v>
      </c>
      <c r="O70" s="48">
        <v>1</v>
      </c>
      <c r="P70" s="49" t="s">
        <v>909</v>
      </c>
      <c r="Q70" s="51" t="s">
        <v>938</v>
      </c>
      <c r="R70" s="49" t="s">
        <v>959</v>
      </c>
    </row>
    <row r="71" spans="1:18" ht="32.1" hidden="1" customHeight="1">
      <c r="A71" s="48">
        <v>4</v>
      </c>
      <c r="B71" s="49" t="s">
        <v>80</v>
      </c>
      <c r="C71" s="49" t="s">
        <v>18</v>
      </c>
      <c r="D71" s="49" t="s">
        <v>81</v>
      </c>
      <c r="E71" s="49" t="s">
        <v>960</v>
      </c>
      <c r="F71" s="48" t="s">
        <v>895</v>
      </c>
      <c r="G71" s="48">
        <v>90</v>
      </c>
      <c r="H71" s="48">
        <v>1</v>
      </c>
      <c r="I71" s="48" t="s">
        <v>780</v>
      </c>
      <c r="J71" s="49" t="s">
        <v>961</v>
      </c>
      <c r="K71" s="48" t="s">
        <v>962</v>
      </c>
      <c r="L71" s="49" t="s">
        <v>908</v>
      </c>
      <c r="M71" s="48">
        <v>432</v>
      </c>
      <c r="N71" s="48" t="s">
        <v>963</v>
      </c>
      <c r="O71" s="48">
        <v>1</v>
      </c>
      <c r="P71" s="49" t="s">
        <v>909</v>
      </c>
      <c r="Q71" s="52" t="s">
        <v>964</v>
      </c>
      <c r="R71" s="49" t="s">
        <v>965</v>
      </c>
    </row>
    <row r="72" spans="1:18" ht="32.1" hidden="1" customHeight="1">
      <c r="A72" s="48">
        <v>4</v>
      </c>
      <c r="B72" s="49" t="s">
        <v>80</v>
      </c>
      <c r="C72" s="49" t="s">
        <v>18</v>
      </c>
      <c r="D72" s="49" t="s">
        <v>81</v>
      </c>
      <c r="E72" s="49" t="s">
        <v>966</v>
      </c>
      <c r="F72" s="48" t="s">
        <v>898</v>
      </c>
      <c r="G72" s="48">
        <v>1</v>
      </c>
      <c r="H72" s="48">
        <v>1</v>
      </c>
      <c r="I72" s="48" t="s">
        <v>780</v>
      </c>
      <c r="J72" s="49" t="s">
        <v>967</v>
      </c>
      <c r="K72" s="48" t="s">
        <v>791</v>
      </c>
      <c r="L72" s="49" t="s">
        <v>908</v>
      </c>
      <c r="M72" s="48">
        <v>435</v>
      </c>
      <c r="N72" s="48" t="s">
        <v>968</v>
      </c>
      <c r="O72" s="48">
        <v>1</v>
      </c>
      <c r="P72" s="49" t="s">
        <v>909</v>
      </c>
      <c r="Q72" s="50" t="s">
        <v>851</v>
      </c>
      <c r="R72" s="49" t="s">
        <v>969</v>
      </c>
    </row>
    <row r="73" spans="1:18" ht="32.1" hidden="1" customHeight="1">
      <c r="A73" s="46">
        <v>4</v>
      </c>
      <c r="B73" s="45" t="s">
        <v>80</v>
      </c>
      <c r="C73" s="45" t="s">
        <v>18</v>
      </c>
      <c r="D73" s="45" t="s">
        <v>81</v>
      </c>
      <c r="E73" s="45" t="s">
        <v>970</v>
      </c>
      <c r="F73" s="46" t="s">
        <v>901</v>
      </c>
      <c r="G73" s="46">
        <v>122</v>
      </c>
      <c r="H73" s="46">
        <v>1</v>
      </c>
      <c r="I73" s="46" t="s">
        <v>780</v>
      </c>
      <c r="J73" s="45" t="s">
        <v>925</v>
      </c>
      <c r="K73" s="46" t="s">
        <v>926</v>
      </c>
      <c r="L73" s="45" t="s">
        <v>908</v>
      </c>
      <c r="M73" s="46">
        <v>436</v>
      </c>
      <c r="N73" s="46" t="s">
        <v>927</v>
      </c>
      <c r="O73" s="46">
        <v>1</v>
      </c>
      <c r="P73" s="45" t="s">
        <v>909</v>
      </c>
      <c r="Q73" s="47" t="s">
        <v>776</v>
      </c>
      <c r="R73" s="45" t="s">
        <v>784</v>
      </c>
    </row>
    <row r="74" spans="1:18" ht="32.1" hidden="1" customHeight="1">
      <c r="A74" s="46">
        <v>4</v>
      </c>
      <c r="B74" s="45" t="s">
        <v>80</v>
      </c>
      <c r="C74" s="45" t="s">
        <v>18</v>
      </c>
      <c r="D74" s="45" t="s">
        <v>81</v>
      </c>
      <c r="E74" s="45" t="s">
        <v>971</v>
      </c>
      <c r="F74" s="46" t="s">
        <v>972</v>
      </c>
      <c r="G74" s="46">
        <v>122</v>
      </c>
      <c r="H74" s="46">
        <v>1</v>
      </c>
      <c r="I74" s="46" t="s">
        <v>780</v>
      </c>
      <c r="J74" s="45" t="s">
        <v>911</v>
      </c>
      <c r="K74" s="46" t="s">
        <v>833</v>
      </c>
      <c r="L74" s="45" t="s">
        <v>908</v>
      </c>
      <c r="M74" s="46">
        <v>446</v>
      </c>
      <c r="N74" s="46" t="s">
        <v>930</v>
      </c>
      <c r="O74" s="46">
        <v>1</v>
      </c>
      <c r="P74" s="45" t="s">
        <v>909</v>
      </c>
      <c r="Q74" s="47" t="s">
        <v>776</v>
      </c>
      <c r="R74" s="45" t="s">
        <v>784</v>
      </c>
    </row>
    <row r="75" spans="1:18" ht="32.1" hidden="1" customHeight="1">
      <c r="A75" s="46">
        <v>4</v>
      </c>
      <c r="B75" s="45" t="s">
        <v>80</v>
      </c>
      <c r="C75" s="45" t="s">
        <v>18</v>
      </c>
      <c r="D75" s="45" t="s">
        <v>81</v>
      </c>
      <c r="E75" s="45" t="s">
        <v>973</v>
      </c>
      <c r="F75" s="46" t="s">
        <v>904</v>
      </c>
      <c r="G75" s="46">
        <v>124</v>
      </c>
      <c r="H75" s="46">
        <v>1</v>
      </c>
      <c r="I75" s="46" t="s">
        <v>780</v>
      </c>
      <c r="J75" s="45" t="s">
        <v>925</v>
      </c>
      <c r="K75" s="46" t="s">
        <v>926</v>
      </c>
      <c r="L75" s="45" t="s">
        <v>908</v>
      </c>
      <c r="M75" s="46">
        <v>456</v>
      </c>
      <c r="N75" s="46" t="s">
        <v>927</v>
      </c>
      <c r="O75" s="46">
        <v>1</v>
      </c>
      <c r="P75" s="45" t="s">
        <v>909</v>
      </c>
      <c r="Q75" s="47" t="s">
        <v>776</v>
      </c>
      <c r="R75" s="45" t="s">
        <v>784</v>
      </c>
    </row>
    <row r="76" spans="1:18" ht="32.1" hidden="1" customHeight="1">
      <c r="A76" s="46">
        <v>4</v>
      </c>
      <c r="B76" s="45" t="s">
        <v>80</v>
      </c>
      <c r="C76" s="45" t="s">
        <v>18</v>
      </c>
      <c r="D76" s="45" t="s">
        <v>81</v>
      </c>
      <c r="E76" s="45" t="s">
        <v>974</v>
      </c>
      <c r="F76" s="46" t="s">
        <v>975</v>
      </c>
      <c r="G76" s="46">
        <v>124</v>
      </c>
      <c r="H76" s="46">
        <v>1</v>
      </c>
      <c r="I76" s="46" t="s">
        <v>780</v>
      </c>
      <c r="J76" s="45" t="s">
        <v>911</v>
      </c>
      <c r="K76" s="46" t="s">
        <v>833</v>
      </c>
      <c r="L76" s="45" t="s">
        <v>908</v>
      </c>
      <c r="M76" s="46">
        <v>466</v>
      </c>
      <c r="N76" s="46" t="s">
        <v>930</v>
      </c>
      <c r="O76" s="46">
        <v>1</v>
      </c>
      <c r="P76" s="45" t="s">
        <v>909</v>
      </c>
      <c r="Q76" s="47" t="s">
        <v>776</v>
      </c>
      <c r="R76" s="45" t="s">
        <v>784</v>
      </c>
    </row>
    <row r="77" spans="1:18" ht="32.1" hidden="1" customHeight="1">
      <c r="A77" s="46">
        <v>4</v>
      </c>
      <c r="B77" s="45" t="s">
        <v>80</v>
      </c>
      <c r="C77" s="45" t="s">
        <v>18</v>
      </c>
      <c r="D77" s="45" t="s">
        <v>81</v>
      </c>
      <c r="E77" s="45" t="s">
        <v>976</v>
      </c>
      <c r="F77" s="46" t="s">
        <v>779</v>
      </c>
      <c r="G77" s="46">
        <v>289</v>
      </c>
      <c r="H77" s="46">
        <v>1</v>
      </c>
      <c r="I77" s="46" t="s">
        <v>843</v>
      </c>
      <c r="J77" s="45" t="s">
        <v>977</v>
      </c>
      <c r="K77" s="46"/>
      <c r="L77" s="45" t="s">
        <v>908</v>
      </c>
      <c r="M77" s="46">
        <v>476</v>
      </c>
      <c r="N77" s="46" t="s">
        <v>845</v>
      </c>
      <c r="O77" s="46">
        <v>1</v>
      </c>
      <c r="P77" s="45" t="s">
        <v>909</v>
      </c>
      <c r="Q77" s="47" t="s">
        <v>776</v>
      </c>
      <c r="R77" s="45" t="s">
        <v>784</v>
      </c>
    </row>
    <row r="78" spans="1:18" ht="32.1" hidden="1" customHeight="1">
      <c r="A78" s="46">
        <v>4</v>
      </c>
      <c r="B78" s="45" t="s">
        <v>80</v>
      </c>
      <c r="C78" s="45" t="s">
        <v>18</v>
      </c>
      <c r="D78" s="45" t="s">
        <v>81</v>
      </c>
      <c r="E78" s="45" t="s">
        <v>978</v>
      </c>
      <c r="F78" s="46" t="s">
        <v>979</v>
      </c>
      <c r="G78" s="46">
        <v>289</v>
      </c>
      <c r="H78" s="46">
        <v>1</v>
      </c>
      <c r="I78" s="46" t="s">
        <v>843</v>
      </c>
      <c r="J78" s="45" t="s">
        <v>980</v>
      </c>
      <c r="K78" s="46"/>
      <c r="L78" s="45" t="s">
        <v>908</v>
      </c>
      <c r="M78" s="46">
        <v>477</v>
      </c>
      <c r="N78" s="46" t="s">
        <v>845</v>
      </c>
      <c r="O78" s="46">
        <v>1</v>
      </c>
      <c r="P78" s="45" t="s">
        <v>909</v>
      </c>
      <c r="Q78" s="47" t="s">
        <v>776</v>
      </c>
      <c r="R78" s="45" t="s">
        <v>784</v>
      </c>
    </row>
    <row r="79" spans="1:18" ht="32.1" hidden="1" customHeight="1">
      <c r="A79" s="46">
        <v>5</v>
      </c>
      <c r="B79" s="45" t="s">
        <v>88</v>
      </c>
      <c r="C79" s="45" t="s">
        <v>21</v>
      </c>
      <c r="D79" s="45" t="s">
        <v>89</v>
      </c>
      <c r="E79" s="45" t="s">
        <v>838</v>
      </c>
      <c r="F79" s="46" t="s">
        <v>770</v>
      </c>
      <c r="G79" s="46">
        <v>0</v>
      </c>
      <c r="H79" s="46">
        <v>1</v>
      </c>
      <c r="I79" s="46" t="s">
        <v>771</v>
      </c>
      <c r="J79" s="45" t="s">
        <v>981</v>
      </c>
      <c r="K79" s="46"/>
      <c r="L79" s="45" t="s">
        <v>982</v>
      </c>
      <c r="M79" s="46">
        <v>131</v>
      </c>
      <c r="N79" s="46" t="s">
        <v>774</v>
      </c>
      <c r="O79" s="46">
        <v>50</v>
      </c>
      <c r="P79" s="45" t="s">
        <v>983</v>
      </c>
      <c r="Q79" s="47" t="s">
        <v>776</v>
      </c>
      <c r="R79" s="45" t="s">
        <v>777</v>
      </c>
    </row>
    <row r="80" spans="1:18" ht="32.1" hidden="1" customHeight="1">
      <c r="A80" s="46">
        <v>5</v>
      </c>
      <c r="B80" s="45" t="s">
        <v>88</v>
      </c>
      <c r="C80" s="45" t="s">
        <v>21</v>
      </c>
      <c r="D80" s="45" t="s">
        <v>89</v>
      </c>
      <c r="E80" s="45" t="s">
        <v>838</v>
      </c>
      <c r="F80" s="46" t="s">
        <v>842</v>
      </c>
      <c r="G80" s="46">
        <v>0</v>
      </c>
      <c r="H80" s="46">
        <v>1</v>
      </c>
      <c r="I80" s="46" t="s">
        <v>780</v>
      </c>
      <c r="J80" s="45" t="s">
        <v>984</v>
      </c>
      <c r="K80" s="46" t="s">
        <v>791</v>
      </c>
      <c r="L80" s="45" t="s">
        <v>982</v>
      </c>
      <c r="M80" s="46">
        <v>132</v>
      </c>
      <c r="N80" s="46" t="s">
        <v>985</v>
      </c>
      <c r="O80" s="46">
        <v>1</v>
      </c>
      <c r="P80" s="45" t="s">
        <v>983</v>
      </c>
      <c r="Q80" s="47" t="s">
        <v>776</v>
      </c>
      <c r="R80" s="45" t="s">
        <v>784</v>
      </c>
    </row>
    <row r="81" spans="1:18" ht="32.1" hidden="1" customHeight="1">
      <c r="A81" s="46">
        <v>5</v>
      </c>
      <c r="B81" s="45" t="s">
        <v>88</v>
      </c>
      <c r="C81" s="45" t="s">
        <v>21</v>
      </c>
      <c r="D81" s="45" t="s">
        <v>89</v>
      </c>
      <c r="E81" s="45" t="s">
        <v>838</v>
      </c>
      <c r="F81" s="46" t="s">
        <v>842</v>
      </c>
      <c r="G81" s="46">
        <v>0</v>
      </c>
      <c r="H81" s="46">
        <v>1</v>
      </c>
      <c r="I81" s="46" t="s">
        <v>780</v>
      </c>
      <c r="J81" s="45" t="s">
        <v>984</v>
      </c>
      <c r="K81" s="46" t="s">
        <v>782</v>
      </c>
      <c r="L81" s="45" t="s">
        <v>982</v>
      </c>
      <c r="M81" s="46">
        <v>132</v>
      </c>
      <c r="N81" s="46" t="s">
        <v>986</v>
      </c>
      <c r="O81" s="46">
        <v>1</v>
      </c>
      <c r="P81" s="45" t="s">
        <v>983</v>
      </c>
      <c r="Q81" s="47" t="s">
        <v>776</v>
      </c>
      <c r="R81" s="45" t="s">
        <v>784</v>
      </c>
    </row>
    <row r="82" spans="1:18" ht="32.1" hidden="1" customHeight="1">
      <c r="A82" s="46">
        <v>5</v>
      </c>
      <c r="B82" s="45" t="s">
        <v>88</v>
      </c>
      <c r="C82" s="45" t="s">
        <v>21</v>
      </c>
      <c r="D82" s="45" t="s">
        <v>89</v>
      </c>
      <c r="E82" s="45" t="s">
        <v>838</v>
      </c>
      <c r="F82" s="46" t="s">
        <v>842</v>
      </c>
      <c r="G82" s="46">
        <v>0</v>
      </c>
      <c r="H82" s="46">
        <v>1</v>
      </c>
      <c r="I82" s="46" t="s">
        <v>780</v>
      </c>
      <c r="J82" s="45" t="s">
        <v>984</v>
      </c>
      <c r="K82" s="46" t="s">
        <v>813</v>
      </c>
      <c r="L82" s="45" t="s">
        <v>982</v>
      </c>
      <c r="M82" s="46">
        <v>132</v>
      </c>
      <c r="N82" s="46" t="s">
        <v>987</v>
      </c>
      <c r="O82" s="46">
        <v>1</v>
      </c>
      <c r="P82" s="45" t="s">
        <v>983</v>
      </c>
      <c r="Q82" s="47" t="s">
        <v>776</v>
      </c>
      <c r="R82" s="45" t="s">
        <v>784</v>
      </c>
    </row>
    <row r="83" spans="1:18" ht="32.1" hidden="1" customHeight="1">
      <c r="A83" s="46">
        <v>5</v>
      </c>
      <c r="B83" s="45" t="s">
        <v>88</v>
      </c>
      <c r="C83" s="45" t="s">
        <v>21</v>
      </c>
      <c r="D83" s="45" t="s">
        <v>89</v>
      </c>
      <c r="E83" s="45" t="s">
        <v>838</v>
      </c>
      <c r="F83" s="46" t="s">
        <v>842</v>
      </c>
      <c r="G83" s="46">
        <v>0</v>
      </c>
      <c r="H83" s="46">
        <v>1</v>
      </c>
      <c r="I83" s="46" t="s">
        <v>780</v>
      </c>
      <c r="J83" s="45" t="s">
        <v>984</v>
      </c>
      <c r="K83" s="46" t="s">
        <v>815</v>
      </c>
      <c r="L83" s="45" t="s">
        <v>982</v>
      </c>
      <c r="M83" s="46">
        <v>132</v>
      </c>
      <c r="N83" s="46" t="s">
        <v>988</v>
      </c>
      <c r="O83" s="46">
        <v>1</v>
      </c>
      <c r="P83" s="45" t="s">
        <v>983</v>
      </c>
      <c r="Q83" s="47" t="s">
        <v>776</v>
      </c>
      <c r="R83" s="45" t="s">
        <v>784</v>
      </c>
    </row>
    <row r="84" spans="1:18" ht="32.1" hidden="1" customHeight="1">
      <c r="A84" s="46">
        <v>5</v>
      </c>
      <c r="B84" s="45" t="s">
        <v>88</v>
      </c>
      <c r="C84" s="45" t="s">
        <v>21</v>
      </c>
      <c r="D84" s="45" t="s">
        <v>89</v>
      </c>
      <c r="E84" s="45" t="s">
        <v>838</v>
      </c>
      <c r="F84" s="46" t="s">
        <v>842</v>
      </c>
      <c r="G84" s="46">
        <v>0</v>
      </c>
      <c r="H84" s="46">
        <v>1</v>
      </c>
      <c r="I84" s="46" t="s">
        <v>780</v>
      </c>
      <c r="J84" s="45" t="s">
        <v>984</v>
      </c>
      <c r="K84" s="46" t="s">
        <v>817</v>
      </c>
      <c r="L84" s="45" t="s">
        <v>982</v>
      </c>
      <c r="M84" s="46">
        <v>132</v>
      </c>
      <c r="N84" s="46" t="s">
        <v>989</v>
      </c>
      <c r="O84" s="46">
        <v>1</v>
      </c>
      <c r="P84" s="45" t="s">
        <v>983</v>
      </c>
      <c r="Q84" s="47" t="s">
        <v>776</v>
      </c>
      <c r="R84" s="45" t="s">
        <v>784</v>
      </c>
    </row>
    <row r="85" spans="1:18" ht="32.1" hidden="1" customHeight="1">
      <c r="A85" s="46">
        <v>5</v>
      </c>
      <c r="B85" s="45" t="s">
        <v>88</v>
      </c>
      <c r="C85" s="45" t="s">
        <v>21</v>
      </c>
      <c r="D85" s="45" t="s">
        <v>89</v>
      </c>
      <c r="E85" s="45" t="s">
        <v>838</v>
      </c>
      <c r="F85" s="46" t="s">
        <v>842</v>
      </c>
      <c r="G85" s="46">
        <v>0</v>
      </c>
      <c r="H85" s="46">
        <v>1</v>
      </c>
      <c r="I85" s="46" t="s">
        <v>780</v>
      </c>
      <c r="J85" s="45" t="s">
        <v>984</v>
      </c>
      <c r="K85" s="46" t="s">
        <v>819</v>
      </c>
      <c r="L85" s="45" t="s">
        <v>982</v>
      </c>
      <c r="M85" s="46">
        <v>132</v>
      </c>
      <c r="N85" s="46" t="s">
        <v>990</v>
      </c>
      <c r="O85" s="46">
        <v>1</v>
      </c>
      <c r="P85" s="45" t="s">
        <v>983</v>
      </c>
      <c r="Q85" s="47" t="s">
        <v>776</v>
      </c>
      <c r="R85" s="45" t="s">
        <v>784</v>
      </c>
    </row>
    <row r="86" spans="1:18" ht="32.1" hidden="1" customHeight="1">
      <c r="A86" s="46">
        <v>5</v>
      </c>
      <c r="B86" s="45" t="s">
        <v>88</v>
      </c>
      <c r="C86" s="45" t="s">
        <v>21</v>
      </c>
      <c r="D86" s="45" t="s">
        <v>89</v>
      </c>
      <c r="E86" s="45" t="s">
        <v>838</v>
      </c>
      <c r="F86" s="46" t="s">
        <v>842</v>
      </c>
      <c r="G86" s="46">
        <v>0</v>
      </c>
      <c r="H86" s="46">
        <v>1</v>
      </c>
      <c r="I86" s="46" t="s">
        <v>780</v>
      </c>
      <c r="J86" s="45" t="s">
        <v>984</v>
      </c>
      <c r="K86" s="46" t="s">
        <v>821</v>
      </c>
      <c r="L86" s="45" t="s">
        <v>982</v>
      </c>
      <c r="M86" s="46">
        <v>132</v>
      </c>
      <c r="N86" s="46" t="s">
        <v>991</v>
      </c>
      <c r="O86" s="46">
        <v>1</v>
      </c>
      <c r="P86" s="45" t="s">
        <v>983</v>
      </c>
      <c r="Q86" s="47" t="s">
        <v>776</v>
      </c>
      <c r="R86" s="45" t="s">
        <v>784</v>
      </c>
    </row>
    <row r="87" spans="1:18" ht="32.1" hidden="1" customHeight="1">
      <c r="A87" s="46">
        <v>5</v>
      </c>
      <c r="B87" s="45" t="s">
        <v>88</v>
      </c>
      <c r="C87" s="45" t="s">
        <v>21</v>
      </c>
      <c r="D87" s="45" t="s">
        <v>89</v>
      </c>
      <c r="E87" s="45" t="s">
        <v>838</v>
      </c>
      <c r="F87" s="46" t="s">
        <v>842</v>
      </c>
      <c r="G87" s="46">
        <v>0</v>
      </c>
      <c r="H87" s="46">
        <v>1</v>
      </c>
      <c r="I87" s="46" t="s">
        <v>780</v>
      </c>
      <c r="J87" s="45" t="s">
        <v>984</v>
      </c>
      <c r="K87" s="46" t="s">
        <v>795</v>
      </c>
      <c r="L87" s="45" t="s">
        <v>982</v>
      </c>
      <c r="M87" s="46">
        <v>132</v>
      </c>
      <c r="N87" s="46" t="s">
        <v>992</v>
      </c>
      <c r="O87" s="46">
        <v>1</v>
      </c>
      <c r="P87" s="45" t="s">
        <v>983</v>
      </c>
      <c r="Q87" s="47" t="s">
        <v>776</v>
      </c>
      <c r="R87" s="45" t="s">
        <v>784</v>
      </c>
    </row>
    <row r="88" spans="1:18" ht="32.1" hidden="1" customHeight="1">
      <c r="A88" s="46">
        <v>5</v>
      </c>
      <c r="B88" s="45" t="s">
        <v>88</v>
      </c>
      <c r="C88" s="45" t="s">
        <v>21</v>
      </c>
      <c r="D88" s="45" t="s">
        <v>89</v>
      </c>
      <c r="E88" s="45" t="s">
        <v>838</v>
      </c>
      <c r="F88" s="46" t="s">
        <v>842</v>
      </c>
      <c r="G88" s="46">
        <v>0</v>
      </c>
      <c r="H88" s="46">
        <v>1</v>
      </c>
      <c r="I88" s="46" t="s">
        <v>780</v>
      </c>
      <c r="J88" s="45" t="s">
        <v>984</v>
      </c>
      <c r="K88" s="46" t="s">
        <v>824</v>
      </c>
      <c r="L88" s="45" t="s">
        <v>982</v>
      </c>
      <c r="M88" s="46">
        <v>132</v>
      </c>
      <c r="N88" s="46" t="s">
        <v>993</v>
      </c>
      <c r="O88" s="46">
        <v>1</v>
      </c>
      <c r="P88" s="45" t="s">
        <v>983</v>
      </c>
      <c r="Q88" s="47" t="s">
        <v>776</v>
      </c>
      <c r="R88" s="45" t="s">
        <v>784</v>
      </c>
    </row>
    <row r="89" spans="1:18" ht="32.1" hidden="1" customHeight="1">
      <c r="A89" s="46">
        <v>5</v>
      </c>
      <c r="B89" s="45" t="s">
        <v>88</v>
      </c>
      <c r="C89" s="45" t="s">
        <v>21</v>
      </c>
      <c r="D89" s="45" t="s">
        <v>89</v>
      </c>
      <c r="E89" s="45" t="s">
        <v>838</v>
      </c>
      <c r="F89" s="46" t="s">
        <v>842</v>
      </c>
      <c r="G89" s="46">
        <v>0</v>
      </c>
      <c r="H89" s="46">
        <v>1</v>
      </c>
      <c r="I89" s="46" t="s">
        <v>780</v>
      </c>
      <c r="J89" s="45" t="s">
        <v>984</v>
      </c>
      <c r="K89" s="46" t="s">
        <v>826</v>
      </c>
      <c r="L89" s="45" t="s">
        <v>982</v>
      </c>
      <c r="M89" s="46">
        <v>132</v>
      </c>
      <c r="N89" s="46" t="s">
        <v>994</v>
      </c>
      <c r="O89" s="46">
        <v>1</v>
      </c>
      <c r="P89" s="45" t="s">
        <v>983</v>
      </c>
      <c r="Q89" s="47" t="s">
        <v>776</v>
      </c>
      <c r="R89" s="45" t="s">
        <v>784</v>
      </c>
    </row>
    <row r="90" spans="1:18" ht="32.1" hidden="1" customHeight="1">
      <c r="A90" s="46">
        <v>5</v>
      </c>
      <c r="B90" s="45" t="s">
        <v>88</v>
      </c>
      <c r="C90" s="45" t="s">
        <v>21</v>
      </c>
      <c r="D90" s="45" t="s">
        <v>89</v>
      </c>
      <c r="E90" s="45" t="s">
        <v>838</v>
      </c>
      <c r="F90" s="46" t="s">
        <v>842</v>
      </c>
      <c r="G90" s="46">
        <v>0</v>
      </c>
      <c r="H90" s="46">
        <v>1</v>
      </c>
      <c r="I90" s="46" t="s">
        <v>780</v>
      </c>
      <c r="J90" s="45" t="s">
        <v>984</v>
      </c>
      <c r="K90" s="46" t="s">
        <v>806</v>
      </c>
      <c r="L90" s="45" t="s">
        <v>982</v>
      </c>
      <c r="M90" s="46">
        <v>132</v>
      </c>
      <c r="N90" s="46" t="s">
        <v>995</v>
      </c>
      <c r="O90" s="46">
        <v>1</v>
      </c>
      <c r="P90" s="45" t="s">
        <v>983</v>
      </c>
      <c r="Q90" s="47" t="s">
        <v>776</v>
      </c>
      <c r="R90" s="45" t="s">
        <v>784</v>
      </c>
    </row>
    <row r="91" spans="1:18" ht="32.1" hidden="1" customHeight="1">
      <c r="A91" s="46">
        <v>5</v>
      </c>
      <c r="B91" s="45" t="s">
        <v>88</v>
      </c>
      <c r="C91" s="45" t="s">
        <v>21</v>
      </c>
      <c r="D91" s="45" t="s">
        <v>89</v>
      </c>
      <c r="E91" s="45" t="s">
        <v>838</v>
      </c>
      <c r="F91" s="46" t="s">
        <v>842</v>
      </c>
      <c r="G91" s="46">
        <v>0</v>
      </c>
      <c r="H91" s="46">
        <v>1</v>
      </c>
      <c r="I91" s="46" t="s">
        <v>780</v>
      </c>
      <c r="J91" s="45" t="s">
        <v>984</v>
      </c>
      <c r="K91" s="46" t="s">
        <v>829</v>
      </c>
      <c r="L91" s="45" t="s">
        <v>982</v>
      </c>
      <c r="M91" s="46">
        <v>132</v>
      </c>
      <c r="N91" s="46" t="s">
        <v>996</v>
      </c>
      <c r="O91" s="46">
        <v>1</v>
      </c>
      <c r="P91" s="45" t="s">
        <v>983</v>
      </c>
      <c r="Q91" s="47" t="s">
        <v>776</v>
      </c>
      <c r="R91" s="45" t="s">
        <v>784</v>
      </c>
    </row>
    <row r="92" spans="1:18" ht="32.1" hidden="1" customHeight="1">
      <c r="A92" s="46">
        <v>5</v>
      </c>
      <c r="B92" s="45" t="s">
        <v>88</v>
      </c>
      <c r="C92" s="45" t="s">
        <v>21</v>
      </c>
      <c r="D92" s="45" t="s">
        <v>89</v>
      </c>
      <c r="E92" s="45" t="s">
        <v>838</v>
      </c>
      <c r="F92" s="46" t="s">
        <v>842</v>
      </c>
      <c r="G92" s="46">
        <v>0</v>
      </c>
      <c r="H92" s="46">
        <v>1</v>
      </c>
      <c r="I92" s="46" t="s">
        <v>780</v>
      </c>
      <c r="J92" s="45" t="s">
        <v>984</v>
      </c>
      <c r="K92" s="46" t="s">
        <v>831</v>
      </c>
      <c r="L92" s="45" t="s">
        <v>982</v>
      </c>
      <c r="M92" s="46">
        <v>132</v>
      </c>
      <c r="N92" s="46" t="s">
        <v>997</v>
      </c>
      <c r="O92" s="46">
        <v>1</v>
      </c>
      <c r="P92" s="45" t="s">
        <v>983</v>
      </c>
      <c r="Q92" s="47" t="s">
        <v>776</v>
      </c>
      <c r="R92" s="45" t="s">
        <v>784</v>
      </c>
    </row>
    <row r="93" spans="1:18" ht="32.1" hidden="1" customHeight="1">
      <c r="A93" s="46">
        <v>5</v>
      </c>
      <c r="B93" s="45" t="s">
        <v>88</v>
      </c>
      <c r="C93" s="45" t="s">
        <v>21</v>
      </c>
      <c r="D93" s="45" t="s">
        <v>89</v>
      </c>
      <c r="E93" s="45" t="s">
        <v>838</v>
      </c>
      <c r="F93" s="46" t="s">
        <v>842</v>
      </c>
      <c r="G93" s="46">
        <v>0</v>
      </c>
      <c r="H93" s="46">
        <v>1</v>
      </c>
      <c r="I93" s="46" t="s">
        <v>780</v>
      </c>
      <c r="J93" s="45" t="s">
        <v>984</v>
      </c>
      <c r="K93" s="46" t="s">
        <v>833</v>
      </c>
      <c r="L93" s="45" t="s">
        <v>982</v>
      </c>
      <c r="M93" s="46">
        <v>132</v>
      </c>
      <c r="N93" s="46" t="s">
        <v>998</v>
      </c>
      <c r="O93" s="46">
        <v>1</v>
      </c>
      <c r="P93" s="45" t="s">
        <v>983</v>
      </c>
      <c r="Q93" s="47" t="s">
        <v>776</v>
      </c>
      <c r="R93" s="45" t="s">
        <v>784</v>
      </c>
    </row>
    <row r="94" spans="1:18" ht="32.1" hidden="1" customHeight="1">
      <c r="A94" s="46">
        <v>5</v>
      </c>
      <c r="B94" s="45" t="s">
        <v>88</v>
      </c>
      <c r="C94" s="45" t="s">
        <v>21</v>
      </c>
      <c r="D94" s="45" t="s">
        <v>89</v>
      </c>
      <c r="E94" s="45" t="s">
        <v>838</v>
      </c>
      <c r="F94" s="46" t="s">
        <v>809</v>
      </c>
      <c r="G94" s="46">
        <v>0</v>
      </c>
      <c r="H94" s="46">
        <v>1</v>
      </c>
      <c r="I94" s="46" t="s">
        <v>780</v>
      </c>
      <c r="J94" s="45" t="s">
        <v>799</v>
      </c>
      <c r="K94" s="46" t="s">
        <v>819</v>
      </c>
      <c r="L94" s="45" t="s">
        <v>982</v>
      </c>
      <c r="M94" s="46">
        <v>145</v>
      </c>
      <c r="N94" s="46" t="s">
        <v>999</v>
      </c>
      <c r="O94" s="46">
        <v>1</v>
      </c>
      <c r="P94" s="45" t="s">
        <v>983</v>
      </c>
      <c r="Q94" s="47" t="s">
        <v>776</v>
      </c>
      <c r="R94" s="45" t="s">
        <v>784</v>
      </c>
    </row>
    <row r="95" spans="1:18" ht="32.1" hidden="1" customHeight="1">
      <c r="A95" s="46">
        <v>5</v>
      </c>
      <c r="B95" s="45" t="s">
        <v>88</v>
      </c>
      <c r="C95" s="45" t="s">
        <v>21</v>
      </c>
      <c r="D95" s="45" t="s">
        <v>89</v>
      </c>
      <c r="E95" s="45" t="s">
        <v>838</v>
      </c>
      <c r="F95" s="46" t="s">
        <v>848</v>
      </c>
      <c r="G95" s="46">
        <v>0</v>
      </c>
      <c r="H95" s="46">
        <v>1</v>
      </c>
      <c r="I95" s="46" t="s">
        <v>780</v>
      </c>
      <c r="J95" s="45" t="s">
        <v>799</v>
      </c>
      <c r="K95" s="46" t="s">
        <v>824</v>
      </c>
      <c r="L95" s="45" t="s">
        <v>982</v>
      </c>
      <c r="M95" s="46">
        <v>146</v>
      </c>
      <c r="N95" s="46" t="s">
        <v>902</v>
      </c>
      <c r="O95" s="46">
        <v>1</v>
      </c>
      <c r="P95" s="45" t="s">
        <v>983</v>
      </c>
      <c r="Q95" s="47" t="s">
        <v>776</v>
      </c>
      <c r="R95" s="45" t="s">
        <v>784</v>
      </c>
    </row>
    <row r="96" spans="1:18" ht="32.1" hidden="1" customHeight="1">
      <c r="A96" s="46">
        <v>5</v>
      </c>
      <c r="B96" s="45" t="s">
        <v>88</v>
      </c>
      <c r="C96" s="45" t="s">
        <v>21</v>
      </c>
      <c r="D96" s="45" t="s">
        <v>89</v>
      </c>
      <c r="E96" s="45" t="s">
        <v>838</v>
      </c>
      <c r="F96" s="46" t="s">
        <v>836</v>
      </c>
      <c r="G96" s="46">
        <v>0</v>
      </c>
      <c r="H96" s="46">
        <v>1</v>
      </c>
      <c r="I96" s="46" t="s">
        <v>780</v>
      </c>
      <c r="J96" s="45" t="s">
        <v>799</v>
      </c>
      <c r="K96" s="46" t="s">
        <v>826</v>
      </c>
      <c r="L96" s="45" t="s">
        <v>982</v>
      </c>
      <c r="M96" s="46">
        <v>147</v>
      </c>
      <c r="N96" s="46" t="s">
        <v>1000</v>
      </c>
      <c r="O96" s="46">
        <v>1</v>
      </c>
      <c r="P96" s="45" t="s">
        <v>983</v>
      </c>
      <c r="Q96" s="47" t="s">
        <v>776</v>
      </c>
      <c r="R96" s="45" t="s">
        <v>784</v>
      </c>
    </row>
    <row r="97" spans="1:18" ht="32.1" hidden="1" customHeight="1">
      <c r="A97" s="46">
        <v>5</v>
      </c>
      <c r="B97" s="45" t="s">
        <v>88</v>
      </c>
      <c r="C97" s="45" t="s">
        <v>21</v>
      </c>
      <c r="D97" s="45" t="s">
        <v>89</v>
      </c>
      <c r="E97" s="45" t="s">
        <v>838</v>
      </c>
      <c r="F97" s="46" t="s">
        <v>798</v>
      </c>
      <c r="G97" s="46">
        <v>0</v>
      </c>
      <c r="H97" s="46">
        <v>1</v>
      </c>
      <c r="I97" s="46" t="s">
        <v>780</v>
      </c>
      <c r="J97" s="45" t="s">
        <v>874</v>
      </c>
      <c r="K97" s="46" t="s">
        <v>782</v>
      </c>
      <c r="L97" s="45" t="s">
        <v>982</v>
      </c>
      <c r="M97" s="46">
        <v>148</v>
      </c>
      <c r="N97" s="46" t="s">
        <v>875</v>
      </c>
      <c r="O97" s="46">
        <v>1</v>
      </c>
      <c r="P97" s="45" t="s">
        <v>983</v>
      </c>
      <c r="Q97" s="47" t="s">
        <v>776</v>
      </c>
      <c r="R97" s="45" t="s">
        <v>784</v>
      </c>
    </row>
    <row r="98" spans="1:18" ht="32.1" hidden="1" customHeight="1">
      <c r="A98" s="46">
        <v>5</v>
      </c>
      <c r="B98" s="45" t="s">
        <v>88</v>
      </c>
      <c r="C98" s="45" t="s">
        <v>21</v>
      </c>
      <c r="D98" s="45" t="s">
        <v>89</v>
      </c>
      <c r="E98" s="45" t="s">
        <v>838</v>
      </c>
      <c r="F98" s="46" t="s">
        <v>786</v>
      </c>
      <c r="G98" s="46">
        <v>0</v>
      </c>
      <c r="H98" s="46">
        <v>1</v>
      </c>
      <c r="I98" s="46" t="s">
        <v>780</v>
      </c>
      <c r="J98" s="45" t="s">
        <v>1001</v>
      </c>
      <c r="K98" s="46" t="s">
        <v>817</v>
      </c>
      <c r="L98" s="45" t="s">
        <v>982</v>
      </c>
      <c r="M98" s="46">
        <v>149</v>
      </c>
      <c r="N98" s="46" t="s">
        <v>1002</v>
      </c>
      <c r="O98" s="46">
        <v>1</v>
      </c>
      <c r="P98" s="45" t="s">
        <v>983</v>
      </c>
      <c r="Q98" s="47" t="s">
        <v>776</v>
      </c>
      <c r="R98" s="45" t="s">
        <v>784</v>
      </c>
    </row>
    <row r="99" spans="1:18" ht="32.1" hidden="1" customHeight="1">
      <c r="A99" s="46">
        <v>5</v>
      </c>
      <c r="B99" s="45" t="s">
        <v>88</v>
      </c>
      <c r="C99" s="45" t="s">
        <v>21</v>
      </c>
      <c r="D99" s="45" t="s">
        <v>89</v>
      </c>
      <c r="E99" s="45" t="s">
        <v>838</v>
      </c>
      <c r="F99" s="46" t="s">
        <v>802</v>
      </c>
      <c r="G99" s="46">
        <v>0</v>
      </c>
      <c r="H99" s="46">
        <v>1</v>
      </c>
      <c r="I99" s="46" t="s">
        <v>780</v>
      </c>
      <c r="J99" s="45" t="s">
        <v>1001</v>
      </c>
      <c r="K99" s="46" t="s">
        <v>824</v>
      </c>
      <c r="L99" s="45" t="s">
        <v>982</v>
      </c>
      <c r="M99" s="46">
        <v>150</v>
      </c>
      <c r="N99" s="46" t="s">
        <v>1003</v>
      </c>
      <c r="O99" s="46">
        <v>1</v>
      </c>
      <c r="P99" s="45" t="s">
        <v>983</v>
      </c>
      <c r="Q99" s="47" t="s">
        <v>776</v>
      </c>
      <c r="R99" s="45" t="s">
        <v>784</v>
      </c>
    </row>
    <row r="100" spans="1:18" ht="32.1" hidden="1" customHeight="1">
      <c r="A100" s="46">
        <v>5</v>
      </c>
      <c r="B100" s="45" t="s">
        <v>88</v>
      </c>
      <c r="C100" s="45" t="s">
        <v>21</v>
      </c>
      <c r="D100" s="45" t="s">
        <v>89</v>
      </c>
      <c r="E100" s="45" t="s">
        <v>838</v>
      </c>
      <c r="F100" s="46" t="s">
        <v>794</v>
      </c>
      <c r="G100" s="46">
        <v>0</v>
      </c>
      <c r="H100" s="46">
        <v>1</v>
      </c>
      <c r="I100" s="46" t="s">
        <v>780</v>
      </c>
      <c r="J100" s="45" t="s">
        <v>1001</v>
      </c>
      <c r="K100" s="46" t="s">
        <v>817</v>
      </c>
      <c r="L100" s="45" t="s">
        <v>982</v>
      </c>
      <c r="M100" s="46">
        <v>151</v>
      </c>
      <c r="N100" s="46" t="s">
        <v>1002</v>
      </c>
      <c r="O100" s="46">
        <v>1</v>
      </c>
      <c r="P100" s="45" t="s">
        <v>983</v>
      </c>
      <c r="Q100" s="47" t="s">
        <v>776</v>
      </c>
      <c r="R100" s="45" t="s">
        <v>784</v>
      </c>
    </row>
    <row r="101" spans="1:18" ht="32.1" hidden="1" customHeight="1">
      <c r="A101" s="46">
        <v>5</v>
      </c>
      <c r="B101" s="45" t="s">
        <v>88</v>
      </c>
      <c r="C101" s="45" t="s">
        <v>21</v>
      </c>
      <c r="D101" s="45" t="s">
        <v>89</v>
      </c>
      <c r="E101" s="45" t="s">
        <v>838</v>
      </c>
      <c r="F101" s="46" t="s">
        <v>804</v>
      </c>
      <c r="G101" s="46">
        <v>0</v>
      </c>
      <c r="H101" s="46">
        <v>1</v>
      </c>
      <c r="I101" s="46" t="s">
        <v>843</v>
      </c>
      <c r="J101" s="45" t="s">
        <v>880</v>
      </c>
      <c r="K101" s="46"/>
      <c r="L101" s="45" t="s">
        <v>982</v>
      </c>
      <c r="M101" s="46">
        <v>161</v>
      </c>
      <c r="N101" s="46" t="s">
        <v>881</v>
      </c>
      <c r="O101" s="46">
        <v>1</v>
      </c>
      <c r="P101" s="45" t="s">
        <v>983</v>
      </c>
      <c r="Q101" s="47" t="s">
        <v>776</v>
      </c>
      <c r="R101" s="45" t="s">
        <v>784</v>
      </c>
    </row>
    <row r="102" spans="1:18" ht="32.1" hidden="1" customHeight="1">
      <c r="A102" s="46">
        <v>6</v>
      </c>
      <c r="B102" s="45" t="s">
        <v>96</v>
      </c>
      <c r="C102" s="45" t="s">
        <v>21</v>
      </c>
      <c r="D102" s="45" t="s">
        <v>97</v>
      </c>
      <c r="E102" s="45" t="s">
        <v>1004</v>
      </c>
      <c r="F102" s="46" t="s">
        <v>770</v>
      </c>
      <c r="G102" s="46">
        <v>31</v>
      </c>
      <c r="H102" s="46">
        <v>1</v>
      </c>
      <c r="I102" s="46" t="s">
        <v>771</v>
      </c>
      <c r="J102" s="45" t="s">
        <v>981</v>
      </c>
      <c r="K102" s="46"/>
      <c r="L102" s="45" t="s">
        <v>1005</v>
      </c>
      <c r="M102" s="46">
        <v>143</v>
      </c>
      <c r="N102" s="46" t="s">
        <v>774</v>
      </c>
      <c r="O102" s="46">
        <v>50</v>
      </c>
      <c r="P102" s="45" t="s">
        <v>1006</v>
      </c>
      <c r="Q102" s="47" t="s">
        <v>776</v>
      </c>
      <c r="R102" s="45" t="s">
        <v>777</v>
      </c>
    </row>
    <row r="103" spans="1:18" ht="32.1" hidden="1" customHeight="1">
      <c r="A103" s="46">
        <v>6</v>
      </c>
      <c r="B103" s="45" t="s">
        <v>96</v>
      </c>
      <c r="C103" s="45" t="s">
        <v>21</v>
      </c>
      <c r="D103" s="45" t="s">
        <v>97</v>
      </c>
      <c r="E103" s="45" t="s">
        <v>1007</v>
      </c>
      <c r="F103" s="46" t="s">
        <v>842</v>
      </c>
      <c r="G103" s="46">
        <v>128</v>
      </c>
      <c r="H103" s="46">
        <v>1</v>
      </c>
      <c r="I103" s="46" t="s">
        <v>780</v>
      </c>
      <c r="J103" s="45" t="s">
        <v>1008</v>
      </c>
      <c r="K103" s="46" t="s">
        <v>791</v>
      </c>
      <c r="L103" s="45" t="s">
        <v>1005</v>
      </c>
      <c r="M103" s="46">
        <v>144</v>
      </c>
      <c r="N103" s="46" t="s">
        <v>845</v>
      </c>
      <c r="O103" s="46">
        <v>1</v>
      </c>
      <c r="P103" s="45" t="s">
        <v>1006</v>
      </c>
      <c r="Q103" s="47" t="s">
        <v>776</v>
      </c>
      <c r="R103" s="45" t="s">
        <v>784</v>
      </c>
    </row>
    <row r="104" spans="1:18" ht="32.1" hidden="1" customHeight="1">
      <c r="A104" s="46">
        <v>6</v>
      </c>
      <c r="B104" s="45" t="s">
        <v>96</v>
      </c>
      <c r="C104" s="45" t="s">
        <v>21</v>
      </c>
      <c r="D104" s="45" t="s">
        <v>97</v>
      </c>
      <c r="E104" s="45" t="s">
        <v>1009</v>
      </c>
      <c r="F104" s="46" t="s">
        <v>809</v>
      </c>
      <c r="G104" s="46">
        <v>560</v>
      </c>
      <c r="H104" s="46">
        <v>1</v>
      </c>
      <c r="I104" s="46" t="s">
        <v>780</v>
      </c>
      <c r="J104" s="45" t="s">
        <v>911</v>
      </c>
      <c r="K104" s="46" t="s">
        <v>831</v>
      </c>
      <c r="L104" s="45" t="s">
        <v>1005</v>
      </c>
      <c r="M104" s="46">
        <v>147</v>
      </c>
      <c r="N104" s="46" t="s">
        <v>1010</v>
      </c>
      <c r="O104" s="46">
        <v>1</v>
      </c>
      <c r="P104" s="45" t="s">
        <v>1006</v>
      </c>
      <c r="Q104" s="47" t="s">
        <v>776</v>
      </c>
      <c r="R104" s="45" t="s">
        <v>784</v>
      </c>
    </row>
    <row r="105" spans="1:18" ht="32.1" hidden="1" customHeight="1">
      <c r="A105" s="46">
        <v>6</v>
      </c>
      <c r="B105" s="45" t="s">
        <v>96</v>
      </c>
      <c r="C105" s="45" t="s">
        <v>21</v>
      </c>
      <c r="D105" s="45" t="s">
        <v>97</v>
      </c>
      <c r="E105" s="45" t="s">
        <v>1011</v>
      </c>
      <c r="F105" s="46" t="s">
        <v>848</v>
      </c>
      <c r="G105" s="46">
        <v>1664</v>
      </c>
      <c r="H105" s="46">
        <v>1</v>
      </c>
      <c r="I105" s="46" t="s">
        <v>780</v>
      </c>
      <c r="J105" s="45" t="s">
        <v>911</v>
      </c>
      <c r="K105" s="46" t="s">
        <v>829</v>
      </c>
      <c r="L105" s="45" t="s">
        <v>1005</v>
      </c>
      <c r="M105" s="46">
        <v>148</v>
      </c>
      <c r="N105" s="46" t="s">
        <v>1012</v>
      </c>
      <c r="O105" s="46">
        <v>1</v>
      </c>
      <c r="P105" s="45" t="s">
        <v>1006</v>
      </c>
      <c r="Q105" s="47" t="s">
        <v>776</v>
      </c>
      <c r="R105" s="45" t="s">
        <v>784</v>
      </c>
    </row>
    <row r="106" spans="1:18" ht="32.1" hidden="1" customHeight="1">
      <c r="A106" s="46">
        <v>6</v>
      </c>
      <c r="B106" s="45" t="s">
        <v>96</v>
      </c>
      <c r="C106" s="45" t="s">
        <v>21</v>
      </c>
      <c r="D106" s="45" t="s">
        <v>97</v>
      </c>
      <c r="E106" s="45" t="s">
        <v>1013</v>
      </c>
      <c r="F106" s="46" t="s">
        <v>836</v>
      </c>
      <c r="G106" s="46">
        <v>64</v>
      </c>
      <c r="H106" s="46">
        <v>1</v>
      </c>
      <c r="I106" s="46" t="s">
        <v>771</v>
      </c>
      <c r="J106" s="45" t="s">
        <v>981</v>
      </c>
      <c r="K106" s="46"/>
      <c r="L106" s="45" t="s">
        <v>1005</v>
      </c>
      <c r="M106" s="46">
        <v>149</v>
      </c>
      <c r="N106" s="46" t="s">
        <v>774</v>
      </c>
      <c r="O106" s="46">
        <v>50</v>
      </c>
      <c r="P106" s="45" t="s">
        <v>1006</v>
      </c>
      <c r="Q106" s="47" t="s">
        <v>776</v>
      </c>
      <c r="R106" s="45" t="s">
        <v>777</v>
      </c>
    </row>
    <row r="107" spans="1:18" ht="32.1" hidden="1" customHeight="1">
      <c r="A107" s="46">
        <v>6</v>
      </c>
      <c r="B107" s="45" t="s">
        <v>96</v>
      </c>
      <c r="C107" s="45" t="s">
        <v>21</v>
      </c>
      <c r="D107" s="45" t="s">
        <v>97</v>
      </c>
      <c r="E107" s="45" t="s">
        <v>1014</v>
      </c>
      <c r="F107" s="46" t="s">
        <v>798</v>
      </c>
      <c r="G107" s="46">
        <v>32</v>
      </c>
      <c r="H107" s="46">
        <v>1</v>
      </c>
      <c r="I107" s="46" t="s">
        <v>780</v>
      </c>
      <c r="J107" s="45" t="s">
        <v>1015</v>
      </c>
      <c r="K107" s="46" t="s">
        <v>829</v>
      </c>
      <c r="L107" s="45" t="s">
        <v>1005</v>
      </c>
      <c r="M107" s="46">
        <v>156</v>
      </c>
      <c r="N107" s="46" t="s">
        <v>1012</v>
      </c>
      <c r="O107" s="46">
        <v>1</v>
      </c>
      <c r="P107" s="45" t="s">
        <v>1006</v>
      </c>
      <c r="Q107" s="47" t="s">
        <v>776</v>
      </c>
      <c r="R107" s="45" t="s">
        <v>784</v>
      </c>
    </row>
    <row r="108" spans="1:18" ht="32.1" hidden="1" customHeight="1">
      <c r="A108" s="46">
        <v>7</v>
      </c>
      <c r="B108" s="45" t="s">
        <v>104</v>
      </c>
      <c r="C108" s="45" t="s">
        <v>21</v>
      </c>
      <c r="D108" s="45" t="s">
        <v>105</v>
      </c>
      <c r="E108" s="45" t="s">
        <v>1016</v>
      </c>
      <c r="F108" s="46" t="s">
        <v>770</v>
      </c>
      <c r="G108" s="46">
        <v>15</v>
      </c>
      <c r="H108" s="46">
        <v>1</v>
      </c>
      <c r="I108" s="46" t="s">
        <v>780</v>
      </c>
      <c r="J108" s="45" t="s">
        <v>1017</v>
      </c>
      <c r="K108" s="46" t="s">
        <v>795</v>
      </c>
      <c r="L108" s="45" t="s">
        <v>1018</v>
      </c>
      <c r="M108" s="46">
        <v>233</v>
      </c>
      <c r="N108" s="46" t="s">
        <v>1019</v>
      </c>
      <c r="O108" s="46">
        <v>1</v>
      </c>
      <c r="P108" s="45" t="s">
        <v>1020</v>
      </c>
      <c r="Q108" s="47" t="s">
        <v>776</v>
      </c>
      <c r="R108" s="45" t="s">
        <v>784</v>
      </c>
    </row>
    <row r="109" spans="1:18" ht="32.1" hidden="1" customHeight="1">
      <c r="A109" s="46">
        <v>7</v>
      </c>
      <c r="B109" s="45" t="s">
        <v>104</v>
      </c>
      <c r="C109" s="45" t="s">
        <v>21</v>
      </c>
      <c r="D109" s="45" t="s">
        <v>105</v>
      </c>
      <c r="E109" s="45" t="s">
        <v>1021</v>
      </c>
      <c r="F109" s="46" t="s">
        <v>842</v>
      </c>
      <c r="G109" s="46">
        <v>172</v>
      </c>
      <c r="H109" s="46">
        <v>1</v>
      </c>
      <c r="I109" s="46" t="s">
        <v>780</v>
      </c>
      <c r="J109" s="45" t="s">
        <v>799</v>
      </c>
      <c r="K109" s="46" t="s">
        <v>926</v>
      </c>
      <c r="L109" s="45" t="s">
        <v>1018</v>
      </c>
      <c r="M109" s="46">
        <v>234</v>
      </c>
      <c r="N109" s="46" t="s">
        <v>1022</v>
      </c>
      <c r="O109" s="46">
        <v>1</v>
      </c>
      <c r="P109" s="45" t="s">
        <v>1020</v>
      </c>
      <c r="Q109" s="47" t="s">
        <v>776</v>
      </c>
      <c r="R109" s="45" t="s">
        <v>784</v>
      </c>
    </row>
    <row r="110" spans="1:18" ht="32.1" hidden="1" customHeight="1">
      <c r="A110" s="46">
        <v>7</v>
      </c>
      <c r="B110" s="45" t="s">
        <v>104</v>
      </c>
      <c r="C110" s="45" t="s">
        <v>21</v>
      </c>
      <c r="D110" s="45" t="s">
        <v>105</v>
      </c>
      <c r="E110" s="45" t="s">
        <v>1023</v>
      </c>
      <c r="F110" s="46" t="s">
        <v>809</v>
      </c>
      <c r="G110" s="46">
        <v>25</v>
      </c>
      <c r="H110" s="46">
        <v>1</v>
      </c>
      <c r="I110" s="46" t="s">
        <v>780</v>
      </c>
      <c r="J110" s="45" t="s">
        <v>787</v>
      </c>
      <c r="K110" s="46" t="s">
        <v>795</v>
      </c>
      <c r="L110" s="45" t="s">
        <v>1018</v>
      </c>
      <c r="M110" s="46">
        <v>235</v>
      </c>
      <c r="N110" s="46" t="s">
        <v>796</v>
      </c>
      <c r="O110" s="46">
        <v>1</v>
      </c>
      <c r="P110" s="45" t="s">
        <v>1020</v>
      </c>
      <c r="Q110" s="47" t="s">
        <v>776</v>
      </c>
      <c r="R110" s="45" t="s">
        <v>784</v>
      </c>
    </row>
    <row r="111" spans="1:18" ht="32.1" hidden="1" customHeight="1">
      <c r="A111" s="46">
        <v>7</v>
      </c>
      <c r="B111" s="45" t="s">
        <v>104</v>
      </c>
      <c r="C111" s="45" t="s">
        <v>21</v>
      </c>
      <c r="D111" s="45" t="s">
        <v>105</v>
      </c>
      <c r="E111" s="45" t="s">
        <v>1024</v>
      </c>
      <c r="F111" s="46" t="s">
        <v>848</v>
      </c>
      <c r="G111" s="46">
        <v>24</v>
      </c>
      <c r="H111" s="46">
        <v>1</v>
      </c>
      <c r="I111" s="46" t="s">
        <v>780</v>
      </c>
      <c r="J111" s="45" t="s">
        <v>874</v>
      </c>
      <c r="K111" s="46" t="s">
        <v>782</v>
      </c>
      <c r="L111" s="45" t="s">
        <v>1018</v>
      </c>
      <c r="M111" s="46">
        <v>236</v>
      </c>
      <c r="N111" s="46" t="s">
        <v>875</v>
      </c>
      <c r="O111" s="46">
        <v>1</v>
      </c>
      <c r="P111" s="45" t="s">
        <v>1020</v>
      </c>
      <c r="Q111" s="47" t="s">
        <v>776</v>
      </c>
      <c r="R111" s="45" t="s">
        <v>784</v>
      </c>
    </row>
    <row r="112" spans="1:18" ht="32.1" hidden="1" customHeight="1">
      <c r="A112" s="46">
        <v>7</v>
      </c>
      <c r="B112" s="45" t="s">
        <v>104</v>
      </c>
      <c r="C112" s="45" t="s">
        <v>21</v>
      </c>
      <c r="D112" s="45" t="s">
        <v>105</v>
      </c>
      <c r="E112" s="45" t="s">
        <v>1025</v>
      </c>
      <c r="F112" s="46" t="s">
        <v>836</v>
      </c>
      <c r="G112" s="46">
        <v>129</v>
      </c>
      <c r="H112" s="46">
        <v>1</v>
      </c>
      <c r="I112" s="46" t="s">
        <v>843</v>
      </c>
      <c r="J112" s="45" t="s">
        <v>880</v>
      </c>
      <c r="K112" s="46"/>
      <c r="L112" s="45" t="s">
        <v>1018</v>
      </c>
      <c r="M112" s="46">
        <v>237</v>
      </c>
      <c r="N112" s="46" t="s">
        <v>881</v>
      </c>
      <c r="O112" s="46">
        <v>1</v>
      </c>
      <c r="P112" s="45" t="s">
        <v>1020</v>
      </c>
      <c r="Q112" s="47" t="s">
        <v>776</v>
      </c>
      <c r="R112" s="45" t="s">
        <v>784</v>
      </c>
    </row>
    <row r="113" spans="1:18" ht="32.1" hidden="1" customHeight="1">
      <c r="A113" s="46">
        <v>7</v>
      </c>
      <c r="B113" s="45" t="s">
        <v>104</v>
      </c>
      <c r="C113" s="45" t="s">
        <v>21</v>
      </c>
      <c r="D113" s="45" t="s">
        <v>105</v>
      </c>
      <c r="E113" s="45" t="s">
        <v>1026</v>
      </c>
      <c r="F113" s="46" t="s">
        <v>798</v>
      </c>
      <c r="G113" s="46">
        <v>96</v>
      </c>
      <c r="H113" s="46">
        <v>1</v>
      </c>
      <c r="I113" s="46" t="s">
        <v>780</v>
      </c>
      <c r="J113" s="45" t="s">
        <v>925</v>
      </c>
      <c r="K113" s="46" t="s">
        <v>791</v>
      </c>
      <c r="L113" s="45" t="s">
        <v>1018</v>
      </c>
      <c r="M113" s="46">
        <v>238</v>
      </c>
      <c r="N113" s="46" t="s">
        <v>1027</v>
      </c>
      <c r="O113" s="46">
        <v>1</v>
      </c>
      <c r="P113" s="45" t="s">
        <v>1020</v>
      </c>
      <c r="Q113" s="47" t="s">
        <v>776</v>
      </c>
      <c r="R113" s="45" t="s">
        <v>784</v>
      </c>
    </row>
    <row r="114" spans="1:18" ht="32.1" hidden="1" customHeight="1">
      <c r="A114" s="46">
        <v>7</v>
      </c>
      <c r="B114" s="45" t="s">
        <v>104</v>
      </c>
      <c r="C114" s="45" t="s">
        <v>21</v>
      </c>
      <c r="D114" s="45" t="s">
        <v>105</v>
      </c>
      <c r="E114" s="45" t="s">
        <v>1028</v>
      </c>
      <c r="F114" s="46" t="s">
        <v>786</v>
      </c>
      <c r="G114" s="46">
        <v>396</v>
      </c>
      <c r="H114" s="46">
        <v>1</v>
      </c>
      <c r="I114" s="46" t="s">
        <v>780</v>
      </c>
      <c r="J114" s="45" t="s">
        <v>925</v>
      </c>
      <c r="K114" s="46" t="s">
        <v>829</v>
      </c>
      <c r="L114" s="45" t="s">
        <v>1018</v>
      </c>
      <c r="M114" s="46">
        <v>239</v>
      </c>
      <c r="N114" s="46" t="s">
        <v>1029</v>
      </c>
      <c r="O114" s="46">
        <v>1</v>
      </c>
      <c r="P114" s="45" t="s">
        <v>1020</v>
      </c>
      <c r="Q114" s="47" t="s">
        <v>776</v>
      </c>
      <c r="R114" s="45" t="s">
        <v>784</v>
      </c>
    </row>
    <row r="115" spans="1:18" ht="32.1" hidden="1" customHeight="1">
      <c r="A115" s="46">
        <v>7</v>
      </c>
      <c r="B115" s="45" t="s">
        <v>104</v>
      </c>
      <c r="C115" s="45" t="s">
        <v>21</v>
      </c>
      <c r="D115" s="45" t="s">
        <v>105</v>
      </c>
      <c r="E115" s="45" t="s">
        <v>1030</v>
      </c>
      <c r="F115" s="46" t="s">
        <v>802</v>
      </c>
      <c r="G115" s="46">
        <v>54</v>
      </c>
      <c r="H115" s="46">
        <v>1</v>
      </c>
      <c r="I115" s="46" t="s">
        <v>780</v>
      </c>
      <c r="J115" s="45" t="s">
        <v>1031</v>
      </c>
      <c r="K115" s="46" t="s">
        <v>865</v>
      </c>
      <c r="L115" s="45" t="s">
        <v>1018</v>
      </c>
      <c r="M115" s="46">
        <v>240</v>
      </c>
      <c r="N115" s="46" t="s">
        <v>1032</v>
      </c>
      <c r="O115" s="46">
        <v>1</v>
      </c>
      <c r="P115" s="45" t="s">
        <v>1020</v>
      </c>
      <c r="Q115" s="47" t="s">
        <v>776</v>
      </c>
      <c r="R115" s="45" t="s">
        <v>784</v>
      </c>
    </row>
    <row r="116" spans="1:18" ht="32.1" hidden="1" customHeight="1">
      <c r="A116" s="46">
        <v>7</v>
      </c>
      <c r="B116" s="45" t="s">
        <v>104</v>
      </c>
      <c r="C116" s="45" t="s">
        <v>21</v>
      </c>
      <c r="D116" s="45" t="s">
        <v>105</v>
      </c>
      <c r="E116" s="45" t="s">
        <v>1033</v>
      </c>
      <c r="F116" s="46" t="s">
        <v>794</v>
      </c>
      <c r="G116" s="46">
        <v>258</v>
      </c>
      <c r="H116" s="46">
        <v>1</v>
      </c>
      <c r="I116" s="46" t="s">
        <v>780</v>
      </c>
      <c r="J116" s="45" t="s">
        <v>884</v>
      </c>
      <c r="K116" s="46" t="s">
        <v>791</v>
      </c>
      <c r="L116" s="45" t="s">
        <v>1018</v>
      </c>
      <c r="M116" s="46">
        <v>241</v>
      </c>
      <c r="N116" s="46" t="s">
        <v>885</v>
      </c>
      <c r="O116" s="46">
        <v>1</v>
      </c>
      <c r="P116" s="45" t="s">
        <v>1020</v>
      </c>
      <c r="Q116" s="47" t="s">
        <v>776</v>
      </c>
      <c r="R116" s="45" t="s">
        <v>784</v>
      </c>
    </row>
    <row r="117" spans="1:18" ht="32.1" hidden="1" customHeight="1">
      <c r="A117" s="46">
        <v>7</v>
      </c>
      <c r="B117" s="45" t="s">
        <v>104</v>
      </c>
      <c r="C117" s="45" t="s">
        <v>21</v>
      </c>
      <c r="D117" s="45" t="s">
        <v>105</v>
      </c>
      <c r="E117" s="45" t="s">
        <v>1034</v>
      </c>
      <c r="F117" s="46" t="s">
        <v>804</v>
      </c>
      <c r="G117" s="46">
        <v>4</v>
      </c>
      <c r="H117" s="46">
        <v>1</v>
      </c>
      <c r="I117" s="46" t="s">
        <v>780</v>
      </c>
      <c r="J117" s="45" t="s">
        <v>925</v>
      </c>
      <c r="K117" s="46" t="s">
        <v>791</v>
      </c>
      <c r="L117" s="45" t="s">
        <v>1018</v>
      </c>
      <c r="M117" s="46">
        <v>242</v>
      </c>
      <c r="N117" s="46" t="s">
        <v>1027</v>
      </c>
      <c r="O117" s="46">
        <v>1</v>
      </c>
      <c r="P117" s="45" t="s">
        <v>1020</v>
      </c>
      <c r="Q117" s="47" t="s">
        <v>776</v>
      </c>
      <c r="R117" s="45" t="s">
        <v>784</v>
      </c>
    </row>
    <row r="118" spans="1:18" ht="32.1" hidden="1" customHeight="1">
      <c r="A118" s="46">
        <v>7</v>
      </c>
      <c r="B118" s="45" t="s">
        <v>104</v>
      </c>
      <c r="C118" s="45" t="s">
        <v>21</v>
      </c>
      <c r="D118" s="45" t="s">
        <v>105</v>
      </c>
      <c r="E118" s="45" t="s">
        <v>1035</v>
      </c>
      <c r="F118" s="46" t="s">
        <v>883</v>
      </c>
      <c r="G118" s="46">
        <v>1</v>
      </c>
      <c r="H118" s="46">
        <v>1</v>
      </c>
      <c r="I118" s="46" t="s">
        <v>780</v>
      </c>
      <c r="J118" s="45" t="s">
        <v>925</v>
      </c>
      <c r="K118" s="46" t="s">
        <v>791</v>
      </c>
      <c r="L118" s="45" t="s">
        <v>1018</v>
      </c>
      <c r="M118" s="46">
        <v>250</v>
      </c>
      <c r="N118" s="46" t="s">
        <v>1027</v>
      </c>
      <c r="O118" s="46">
        <v>1</v>
      </c>
      <c r="P118" s="45" t="s">
        <v>1020</v>
      </c>
      <c r="Q118" s="47" t="s">
        <v>776</v>
      </c>
      <c r="R118" s="45" t="s">
        <v>784</v>
      </c>
    </row>
    <row r="119" spans="1:18" ht="32.1" hidden="1" customHeight="1">
      <c r="A119" s="46">
        <v>7</v>
      </c>
      <c r="B119" s="45" t="s">
        <v>104</v>
      </c>
      <c r="C119" s="45" t="s">
        <v>21</v>
      </c>
      <c r="D119" s="45" t="s">
        <v>105</v>
      </c>
      <c r="E119" s="45" t="s">
        <v>1035</v>
      </c>
      <c r="F119" s="46" t="s">
        <v>1036</v>
      </c>
      <c r="G119" s="46">
        <v>1</v>
      </c>
      <c r="H119" s="46">
        <v>1</v>
      </c>
      <c r="I119" s="46" t="s">
        <v>780</v>
      </c>
      <c r="J119" s="45" t="s">
        <v>925</v>
      </c>
      <c r="K119" s="46" t="s">
        <v>791</v>
      </c>
      <c r="L119" s="45" t="s">
        <v>1018</v>
      </c>
      <c r="M119" s="46">
        <v>257</v>
      </c>
      <c r="N119" s="46" t="s">
        <v>1027</v>
      </c>
      <c r="O119" s="46">
        <v>1</v>
      </c>
      <c r="P119" s="45" t="s">
        <v>1020</v>
      </c>
      <c r="Q119" s="47" t="s">
        <v>776</v>
      </c>
      <c r="R119" s="45" t="s">
        <v>784</v>
      </c>
    </row>
    <row r="120" spans="1:18" ht="32.1" hidden="1" customHeight="1">
      <c r="A120" s="46">
        <v>8</v>
      </c>
      <c r="B120" s="45" t="s">
        <v>113</v>
      </c>
      <c r="C120" s="45" t="s">
        <v>25</v>
      </c>
      <c r="D120" s="45" t="s">
        <v>114</v>
      </c>
      <c r="E120" s="45" t="s">
        <v>838</v>
      </c>
      <c r="F120" s="46" t="s">
        <v>770</v>
      </c>
      <c r="G120" s="46">
        <v>0</v>
      </c>
      <c r="H120" s="46">
        <v>1</v>
      </c>
      <c r="I120" s="46" t="s">
        <v>780</v>
      </c>
      <c r="J120" s="45" t="s">
        <v>781</v>
      </c>
      <c r="K120" s="46" t="s">
        <v>782</v>
      </c>
      <c r="L120" s="45" t="s">
        <v>1037</v>
      </c>
      <c r="M120" s="46">
        <v>174</v>
      </c>
      <c r="N120" s="46" t="s">
        <v>783</v>
      </c>
      <c r="O120" s="46">
        <v>1</v>
      </c>
      <c r="P120" s="45" t="s">
        <v>1038</v>
      </c>
      <c r="Q120" s="47" t="s">
        <v>776</v>
      </c>
      <c r="R120" s="45" t="s">
        <v>784</v>
      </c>
    </row>
    <row r="121" spans="1:18" ht="32.1" hidden="1" customHeight="1">
      <c r="A121" s="46">
        <v>8</v>
      </c>
      <c r="B121" s="45" t="s">
        <v>113</v>
      </c>
      <c r="C121" s="45" t="s">
        <v>25</v>
      </c>
      <c r="D121" s="45" t="s">
        <v>114</v>
      </c>
      <c r="E121" s="45" t="s">
        <v>838</v>
      </c>
      <c r="F121" s="46" t="s">
        <v>842</v>
      </c>
      <c r="G121" s="46">
        <v>0</v>
      </c>
      <c r="H121" s="46">
        <v>1</v>
      </c>
      <c r="I121" s="46" t="s">
        <v>780</v>
      </c>
      <c r="J121" s="45" t="s">
        <v>787</v>
      </c>
      <c r="K121" s="46" t="s">
        <v>795</v>
      </c>
      <c r="L121" s="45" t="s">
        <v>1037</v>
      </c>
      <c r="M121" s="46">
        <v>182</v>
      </c>
      <c r="N121" s="46" t="s">
        <v>796</v>
      </c>
      <c r="O121" s="46">
        <v>1</v>
      </c>
      <c r="P121" s="45" t="s">
        <v>1038</v>
      </c>
      <c r="Q121" s="47" t="s">
        <v>776</v>
      </c>
      <c r="R121" s="45" t="s">
        <v>784</v>
      </c>
    </row>
    <row r="122" spans="1:18" ht="32.1" hidden="1" customHeight="1">
      <c r="A122" s="46">
        <v>8</v>
      </c>
      <c r="B122" s="45" t="s">
        <v>113</v>
      </c>
      <c r="C122" s="45" t="s">
        <v>25</v>
      </c>
      <c r="D122" s="45" t="s">
        <v>114</v>
      </c>
      <c r="E122" s="45" t="s">
        <v>838</v>
      </c>
      <c r="F122" s="46" t="s">
        <v>809</v>
      </c>
      <c r="G122" s="46">
        <v>0</v>
      </c>
      <c r="H122" s="46">
        <v>1</v>
      </c>
      <c r="I122" s="46" t="s">
        <v>780</v>
      </c>
      <c r="J122" s="45" t="s">
        <v>787</v>
      </c>
      <c r="K122" s="46" t="s">
        <v>806</v>
      </c>
      <c r="L122" s="45" t="s">
        <v>1037</v>
      </c>
      <c r="M122" s="46">
        <v>190</v>
      </c>
      <c r="N122" s="46" t="s">
        <v>872</v>
      </c>
      <c r="O122" s="46">
        <v>1</v>
      </c>
      <c r="P122" s="45" t="s">
        <v>1038</v>
      </c>
      <c r="Q122" s="47" t="s">
        <v>776</v>
      </c>
      <c r="R122" s="45" t="s">
        <v>784</v>
      </c>
    </row>
    <row r="123" spans="1:18" ht="32.1" hidden="1" customHeight="1">
      <c r="A123" s="46">
        <v>8</v>
      </c>
      <c r="B123" s="45" t="s">
        <v>113</v>
      </c>
      <c r="C123" s="45" t="s">
        <v>25</v>
      </c>
      <c r="D123" s="45" t="s">
        <v>114</v>
      </c>
      <c r="E123" s="45" t="s">
        <v>838</v>
      </c>
      <c r="F123" s="46" t="s">
        <v>848</v>
      </c>
      <c r="G123" s="46">
        <v>0</v>
      </c>
      <c r="H123" s="46">
        <v>1</v>
      </c>
      <c r="I123" s="46" t="s">
        <v>780</v>
      </c>
      <c r="J123" s="45" t="s">
        <v>1001</v>
      </c>
      <c r="K123" s="46" t="s">
        <v>791</v>
      </c>
      <c r="L123" s="45" t="s">
        <v>1037</v>
      </c>
      <c r="M123" s="46">
        <v>198</v>
      </c>
      <c r="N123" s="46" t="s">
        <v>1039</v>
      </c>
      <c r="O123" s="46">
        <v>1</v>
      </c>
      <c r="P123" s="45" t="s">
        <v>1038</v>
      </c>
      <c r="Q123" s="47" t="s">
        <v>776</v>
      </c>
      <c r="R123" s="45" t="s">
        <v>784</v>
      </c>
    </row>
    <row r="124" spans="1:18" ht="32.1" hidden="1" customHeight="1">
      <c r="A124" s="46">
        <v>8</v>
      </c>
      <c r="B124" s="45" t="s">
        <v>113</v>
      </c>
      <c r="C124" s="45" t="s">
        <v>25</v>
      </c>
      <c r="D124" s="45" t="s">
        <v>114</v>
      </c>
      <c r="E124" s="45" t="s">
        <v>838</v>
      </c>
      <c r="F124" s="46" t="s">
        <v>836</v>
      </c>
      <c r="G124" s="46">
        <v>0</v>
      </c>
      <c r="H124" s="46">
        <v>1</v>
      </c>
      <c r="I124" s="46" t="s">
        <v>780</v>
      </c>
      <c r="J124" s="45" t="s">
        <v>1040</v>
      </c>
      <c r="K124" s="46" t="s">
        <v>791</v>
      </c>
      <c r="L124" s="45" t="s">
        <v>1037</v>
      </c>
      <c r="M124" s="46">
        <v>199</v>
      </c>
      <c r="N124" s="46" t="s">
        <v>1041</v>
      </c>
      <c r="O124" s="46">
        <v>2</v>
      </c>
      <c r="P124" s="45" t="s">
        <v>1038</v>
      </c>
      <c r="Q124" s="47" t="s">
        <v>776</v>
      </c>
      <c r="R124" s="45" t="s">
        <v>784</v>
      </c>
    </row>
    <row r="125" spans="1:18" ht="32.1" hidden="1" customHeight="1">
      <c r="A125" s="46">
        <v>8</v>
      </c>
      <c r="B125" s="45" t="s">
        <v>113</v>
      </c>
      <c r="C125" s="45" t="s">
        <v>25</v>
      </c>
      <c r="D125" s="45" t="s">
        <v>114</v>
      </c>
      <c r="E125" s="45" t="s">
        <v>838</v>
      </c>
      <c r="F125" s="46" t="s">
        <v>798</v>
      </c>
      <c r="G125" s="46">
        <v>0</v>
      </c>
      <c r="H125" s="46">
        <v>1</v>
      </c>
      <c r="I125" s="46" t="s">
        <v>771</v>
      </c>
      <c r="J125" s="45" t="s">
        <v>772</v>
      </c>
      <c r="K125" s="46"/>
      <c r="L125" s="45" t="s">
        <v>1037</v>
      </c>
      <c r="M125" s="46">
        <v>200</v>
      </c>
      <c r="N125" s="46" t="s">
        <v>774</v>
      </c>
      <c r="O125" s="46">
        <v>50</v>
      </c>
      <c r="P125" s="45" t="s">
        <v>1038</v>
      </c>
      <c r="Q125" s="47" t="s">
        <v>776</v>
      </c>
      <c r="R125" s="45" t="s">
        <v>777</v>
      </c>
    </row>
    <row r="126" spans="1:18" ht="32.1" hidden="1" customHeight="1">
      <c r="A126" s="46">
        <v>8</v>
      </c>
      <c r="B126" s="45" t="s">
        <v>113</v>
      </c>
      <c r="C126" s="45" t="s">
        <v>25</v>
      </c>
      <c r="D126" s="45" t="s">
        <v>114</v>
      </c>
      <c r="E126" s="45" t="s">
        <v>838</v>
      </c>
      <c r="F126" s="46" t="s">
        <v>786</v>
      </c>
      <c r="G126" s="46">
        <v>0</v>
      </c>
      <c r="H126" s="46">
        <v>1</v>
      </c>
      <c r="I126" s="46" t="s">
        <v>843</v>
      </c>
      <c r="J126" s="45" t="s">
        <v>1042</v>
      </c>
      <c r="K126" s="46"/>
      <c r="L126" s="45" t="s">
        <v>1037</v>
      </c>
      <c r="M126" s="46">
        <v>201</v>
      </c>
      <c r="N126" s="46" t="s">
        <v>845</v>
      </c>
      <c r="O126" s="46">
        <v>1</v>
      </c>
      <c r="P126" s="45" t="s">
        <v>1038</v>
      </c>
      <c r="Q126" s="47" t="s">
        <v>776</v>
      </c>
      <c r="R126" s="45" t="s">
        <v>784</v>
      </c>
    </row>
    <row r="127" spans="1:18" ht="32.1" hidden="1" customHeight="1">
      <c r="A127" s="46">
        <v>9</v>
      </c>
      <c r="B127" s="45" t="s">
        <v>121</v>
      </c>
      <c r="C127" s="45" t="s">
        <v>25</v>
      </c>
      <c r="D127" s="45" t="s">
        <v>122</v>
      </c>
      <c r="E127" s="45" t="s">
        <v>1043</v>
      </c>
      <c r="F127" s="46" t="s">
        <v>848</v>
      </c>
      <c r="G127" s="46">
        <v>4163</v>
      </c>
      <c r="H127" s="46">
        <v>1</v>
      </c>
      <c r="I127" s="46" t="s">
        <v>780</v>
      </c>
      <c r="J127" s="45" t="s">
        <v>787</v>
      </c>
      <c r="K127" s="46" t="s">
        <v>815</v>
      </c>
      <c r="L127" s="45" t="s">
        <v>1044</v>
      </c>
      <c r="M127" s="46">
        <v>1633</v>
      </c>
      <c r="N127" s="46" t="s">
        <v>1045</v>
      </c>
      <c r="O127" s="46">
        <v>1</v>
      </c>
      <c r="P127" s="45" t="s">
        <v>1046</v>
      </c>
      <c r="Q127" s="47" t="s">
        <v>776</v>
      </c>
      <c r="R127" s="45" t="s">
        <v>784</v>
      </c>
    </row>
    <row r="128" spans="1:18" ht="32.1" hidden="1" customHeight="1">
      <c r="A128" s="46">
        <v>9</v>
      </c>
      <c r="B128" s="45" t="s">
        <v>121</v>
      </c>
      <c r="C128" s="45" t="s">
        <v>25</v>
      </c>
      <c r="D128" s="45" t="s">
        <v>122</v>
      </c>
      <c r="E128" s="45" t="s">
        <v>1047</v>
      </c>
      <c r="F128" s="46" t="s">
        <v>770</v>
      </c>
      <c r="G128" s="46">
        <v>602</v>
      </c>
      <c r="H128" s="46">
        <v>1</v>
      </c>
      <c r="I128" s="46" t="s">
        <v>771</v>
      </c>
      <c r="J128" s="45" t="s">
        <v>772</v>
      </c>
      <c r="K128" s="46"/>
      <c r="L128" s="45" t="s">
        <v>1044</v>
      </c>
      <c r="M128" s="46">
        <v>1640</v>
      </c>
      <c r="N128" s="46" t="s">
        <v>774</v>
      </c>
      <c r="O128" s="46">
        <v>50</v>
      </c>
      <c r="P128" s="45" t="s">
        <v>1046</v>
      </c>
      <c r="Q128" s="47" t="s">
        <v>776</v>
      </c>
      <c r="R128" s="45" t="s">
        <v>777</v>
      </c>
    </row>
    <row r="129" spans="1:18" ht="32.1" hidden="1" customHeight="1">
      <c r="A129" s="46">
        <v>9</v>
      </c>
      <c r="B129" s="45" t="s">
        <v>121</v>
      </c>
      <c r="C129" s="45" t="s">
        <v>25</v>
      </c>
      <c r="D129" s="45" t="s">
        <v>122</v>
      </c>
      <c r="E129" s="45" t="s">
        <v>1048</v>
      </c>
      <c r="F129" s="46" t="s">
        <v>842</v>
      </c>
      <c r="G129" s="46">
        <v>294</v>
      </c>
      <c r="H129" s="46">
        <v>1</v>
      </c>
      <c r="I129" s="46" t="s">
        <v>780</v>
      </c>
      <c r="J129" s="45" t="s">
        <v>1049</v>
      </c>
      <c r="K129" s="46" t="s">
        <v>791</v>
      </c>
      <c r="L129" s="45" t="s">
        <v>1044</v>
      </c>
      <c r="M129" s="46">
        <v>1641</v>
      </c>
      <c r="N129" s="46" t="s">
        <v>1050</v>
      </c>
      <c r="O129" s="46">
        <v>1</v>
      </c>
      <c r="P129" s="45" t="s">
        <v>1046</v>
      </c>
      <c r="Q129" s="47" t="s">
        <v>776</v>
      </c>
      <c r="R129" s="45" t="s">
        <v>784</v>
      </c>
    </row>
    <row r="130" spans="1:18" ht="32.1" hidden="1" customHeight="1">
      <c r="A130" s="46">
        <v>9</v>
      </c>
      <c r="B130" s="45" t="s">
        <v>121</v>
      </c>
      <c r="C130" s="45" t="s">
        <v>25</v>
      </c>
      <c r="D130" s="45" t="s">
        <v>122</v>
      </c>
      <c r="E130" s="45" t="s">
        <v>1051</v>
      </c>
      <c r="F130" s="46" t="s">
        <v>809</v>
      </c>
      <c r="G130" s="46">
        <v>11</v>
      </c>
      <c r="H130" s="46">
        <v>1</v>
      </c>
      <c r="I130" s="46" t="s">
        <v>780</v>
      </c>
      <c r="J130" s="45" t="s">
        <v>916</v>
      </c>
      <c r="K130" s="46" t="s">
        <v>865</v>
      </c>
      <c r="L130" s="45" t="s">
        <v>1044</v>
      </c>
      <c r="M130" s="46">
        <v>1642</v>
      </c>
      <c r="N130" s="46" t="s">
        <v>1052</v>
      </c>
      <c r="O130" s="46">
        <v>1</v>
      </c>
      <c r="P130" s="45" t="s">
        <v>1046</v>
      </c>
      <c r="Q130" s="47" t="s">
        <v>776</v>
      </c>
      <c r="R130" s="45" t="s">
        <v>784</v>
      </c>
    </row>
    <row r="131" spans="1:18" ht="32.1" hidden="1" customHeight="1">
      <c r="A131" s="46">
        <v>9</v>
      </c>
      <c r="B131" s="45" t="s">
        <v>121</v>
      </c>
      <c r="C131" s="45" t="s">
        <v>25</v>
      </c>
      <c r="D131" s="45" t="s">
        <v>122</v>
      </c>
      <c r="E131" s="45" t="s">
        <v>1053</v>
      </c>
      <c r="F131" s="46" t="s">
        <v>836</v>
      </c>
      <c r="G131" s="46">
        <v>148</v>
      </c>
      <c r="H131" s="46">
        <v>1</v>
      </c>
      <c r="I131" s="46" t="s">
        <v>780</v>
      </c>
      <c r="J131" s="45" t="s">
        <v>874</v>
      </c>
      <c r="K131" s="46" t="s">
        <v>865</v>
      </c>
      <c r="L131" s="45" t="s">
        <v>1044</v>
      </c>
      <c r="M131" s="46">
        <v>1643</v>
      </c>
      <c r="N131" s="46" t="s">
        <v>1054</v>
      </c>
      <c r="O131" s="46">
        <v>1</v>
      </c>
      <c r="P131" s="45" t="s">
        <v>1046</v>
      </c>
      <c r="Q131" s="47" t="s">
        <v>776</v>
      </c>
      <c r="R131" s="45" t="s">
        <v>784</v>
      </c>
    </row>
    <row r="132" spans="1:18" ht="32.1" hidden="1" customHeight="1">
      <c r="A132" s="46">
        <v>9</v>
      </c>
      <c r="B132" s="45" t="s">
        <v>121</v>
      </c>
      <c r="C132" s="45" t="s">
        <v>25</v>
      </c>
      <c r="D132" s="45" t="s">
        <v>122</v>
      </c>
      <c r="E132" s="45" t="s">
        <v>1055</v>
      </c>
      <c r="F132" s="46" t="s">
        <v>798</v>
      </c>
      <c r="G132" s="46">
        <v>988</v>
      </c>
      <c r="H132" s="46">
        <v>1</v>
      </c>
      <c r="I132" s="46" t="s">
        <v>780</v>
      </c>
      <c r="J132" s="45" t="s">
        <v>892</v>
      </c>
      <c r="K132" s="46" t="s">
        <v>813</v>
      </c>
      <c r="L132" s="45" t="s">
        <v>1044</v>
      </c>
      <c r="M132" s="46">
        <v>1644</v>
      </c>
      <c r="N132" s="46" t="s">
        <v>893</v>
      </c>
      <c r="O132" s="46">
        <v>1</v>
      </c>
      <c r="P132" s="45" t="s">
        <v>1046</v>
      </c>
      <c r="Q132" s="47" t="s">
        <v>776</v>
      </c>
      <c r="R132" s="45" t="s">
        <v>784</v>
      </c>
    </row>
    <row r="133" spans="1:18" ht="32.1" hidden="1" customHeight="1">
      <c r="A133" s="46">
        <v>10</v>
      </c>
      <c r="B133" s="45" t="s">
        <v>129</v>
      </c>
      <c r="C133" s="45" t="s">
        <v>28</v>
      </c>
      <c r="D133" s="45" t="s">
        <v>130</v>
      </c>
      <c r="E133" s="45" t="s">
        <v>1056</v>
      </c>
      <c r="F133" s="46" t="s">
        <v>770</v>
      </c>
      <c r="G133" s="46">
        <v>354</v>
      </c>
      <c r="H133" s="46">
        <v>1</v>
      </c>
      <c r="I133" s="46" t="s">
        <v>780</v>
      </c>
      <c r="J133" s="45" t="s">
        <v>787</v>
      </c>
      <c r="K133" s="46" t="s">
        <v>795</v>
      </c>
      <c r="L133" s="45" t="s">
        <v>1057</v>
      </c>
      <c r="M133" s="46">
        <v>424</v>
      </c>
      <c r="N133" s="46" t="s">
        <v>796</v>
      </c>
      <c r="O133" s="46">
        <v>1</v>
      </c>
      <c r="P133" s="45" t="s">
        <v>1058</v>
      </c>
      <c r="Q133" s="47" t="s">
        <v>776</v>
      </c>
      <c r="R133" s="45" t="s">
        <v>784</v>
      </c>
    </row>
    <row r="134" spans="1:18" ht="32.1" hidden="1" customHeight="1">
      <c r="A134" s="46">
        <v>10</v>
      </c>
      <c r="B134" s="45" t="s">
        <v>129</v>
      </c>
      <c r="C134" s="45" t="s">
        <v>28</v>
      </c>
      <c r="D134" s="45" t="s">
        <v>130</v>
      </c>
      <c r="E134" s="45" t="s">
        <v>1059</v>
      </c>
      <c r="F134" s="46" t="s">
        <v>842</v>
      </c>
      <c r="G134" s="46">
        <v>1989</v>
      </c>
      <c r="H134" s="46">
        <v>1</v>
      </c>
      <c r="I134" s="46" t="s">
        <v>780</v>
      </c>
      <c r="J134" s="45" t="s">
        <v>1060</v>
      </c>
      <c r="K134" s="46" t="s">
        <v>791</v>
      </c>
      <c r="L134" s="45" t="s">
        <v>1057</v>
      </c>
      <c r="M134" s="46">
        <v>425</v>
      </c>
      <c r="N134" s="46" t="s">
        <v>1061</v>
      </c>
      <c r="O134" s="46">
        <v>1</v>
      </c>
      <c r="P134" s="45" t="s">
        <v>1058</v>
      </c>
      <c r="Q134" s="47" t="s">
        <v>776</v>
      </c>
      <c r="R134" s="45" t="s">
        <v>784</v>
      </c>
    </row>
    <row r="135" spans="1:18" ht="32.1" hidden="1" customHeight="1">
      <c r="A135" s="46">
        <v>10</v>
      </c>
      <c r="B135" s="45" t="s">
        <v>129</v>
      </c>
      <c r="C135" s="45" t="s">
        <v>28</v>
      </c>
      <c r="D135" s="45" t="s">
        <v>130</v>
      </c>
      <c r="E135" s="45" t="s">
        <v>1062</v>
      </c>
      <c r="F135" s="46" t="s">
        <v>809</v>
      </c>
      <c r="G135" s="46">
        <v>6364</v>
      </c>
      <c r="H135" s="46">
        <v>1</v>
      </c>
      <c r="I135" s="46" t="s">
        <v>780</v>
      </c>
      <c r="J135" s="45" t="s">
        <v>1060</v>
      </c>
      <c r="K135" s="46" t="s">
        <v>782</v>
      </c>
      <c r="L135" s="45" t="s">
        <v>1057</v>
      </c>
      <c r="M135" s="46">
        <v>426</v>
      </c>
      <c r="N135" s="46" t="s">
        <v>1063</v>
      </c>
      <c r="O135" s="46">
        <v>2</v>
      </c>
      <c r="P135" s="45" t="s">
        <v>1058</v>
      </c>
      <c r="Q135" s="47" t="s">
        <v>776</v>
      </c>
      <c r="R135" s="45" t="s">
        <v>784</v>
      </c>
    </row>
    <row r="136" spans="1:18" ht="32.1" hidden="1" customHeight="1">
      <c r="A136" s="46">
        <v>10</v>
      </c>
      <c r="B136" s="45" t="s">
        <v>129</v>
      </c>
      <c r="C136" s="45" t="s">
        <v>28</v>
      </c>
      <c r="D136" s="45" t="s">
        <v>130</v>
      </c>
      <c r="E136" s="45" t="s">
        <v>1064</v>
      </c>
      <c r="F136" s="46" t="s">
        <v>848</v>
      </c>
      <c r="G136" s="46">
        <v>788</v>
      </c>
      <c r="H136" s="46">
        <v>1</v>
      </c>
      <c r="I136" s="46" t="s">
        <v>780</v>
      </c>
      <c r="J136" s="45" t="s">
        <v>1060</v>
      </c>
      <c r="K136" s="46" t="s">
        <v>813</v>
      </c>
      <c r="L136" s="45" t="s">
        <v>1057</v>
      </c>
      <c r="M136" s="46">
        <v>427</v>
      </c>
      <c r="N136" s="46" t="s">
        <v>1065</v>
      </c>
      <c r="O136" s="46">
        <v>2</v>
      </c>
      <c r="P136" s="45" t="s">
        <v>1058</v>
      </c>
      <c r="Q136" s="47" t="s">
        <v>776</v>
      </c>
      <c r="R136" s="45" t="s">
        <v>784</v>
      </c>
    </row>
    <row r="137" spans="1:18" ht="32.1" hidden="1" customHeight="1">
      <c r="A137" s="46">
        <v>10</v>
      </c>
      <c r="B137" s="45" t="s">
        <v>129</v>
      </c>
      <c r="C137" s="45" t="s">
        <v>28</v>
      </c>
      <c r="D137" s="45" t="s">
        <v>130</v>
      </c>
      <c r="E137" s="45" t="s">
        <v>1066</v>
      </c>
      <c r="F137" s="46" t="s">
        <v>836</v>
      </c>
      <c r="G137" s="46">
        <v>426</v>
      </c>
      <c r="H137" s="46">
        <v>1</v>
      </c>
      <c r="I137" s="46" t="s">
        <v>780</v>
      </c>
      <c r="J137" s="45" t="s">
        <v>1067</v>
      </c>
      <c r="K137" s="46" t="s">
        <v>791</v>
      </c>
      <c r="L137" s="45" t="s">
        <v>1057</v>
      </c>
      <c r="M137" s="46">
        <v>428</v>
      </c>
      <c r="N137" s="46" t="s">
        <v>1068</v>
      </c>
      <c r="O137" s="46">
        <v>2</v>
      </c>
      <c r="P137" s="45" t="s">
        <v>1058</v>
      </c>
      <c r="Q137" s="47" t="s">
        <v>776</v>
      </c>
      <c r="R137" s="45" t="s">
        <v>784</v>
      </c>
    </row>
    <row r="138" spans="1:18" ht="32.1" hidden="1" customHeight="1">
      <c r="A138" s="46">
        <v>10</v>
      </c>
      <c r="B138" s="45" t="s">
        <v>129</v>
      </c>
      <c r="C138" s="45" t="s">
        <v>28</v>
      </c>
      <c r="D138" s="45" t="s">
        <v>130</v>
      </c>
      <c r="E138" s="45" t="s">
        <v>1066</v>
      </c>
      <c r="F138" s="46" t="s">
        <v>836</v>
      </c>
      <c r="G138" s="46">
        <v>426</v>
      </c>
      <c r="H138" s="46">
        <v>1</v>
      </c>
      <c r="I138" s="46" t="s">
        <v>780</v>
      </c>
      <c r="J138" s="45" t="s">
        <v>1067</v>
      </c>
      <c r="K138" s="46" t="s">
        <v>782</v>
      </c>
      <c r="L138" s="45" t="s">
        <v>1057</v>
      </c>
      <c r="M138" s="46">
        <v>428</v>
      </c>
      <c r="N138" s="46" t="s">
        <v>1069</v>
      </c>
      <c r="O138" s="46">
        <v>2</v>
      </c>
      <c r="P138" s="45" t="s">
        <v>1058</v>
      </c>
      <c r="Q138" s="47" t="s">
        <v>776</v>
      </c>
      <c r="R138" s="45" t="s">
        <v>784</v>
      </c>
    </row>
    <row r="139" spans="1:18" ht="32.1" hidden="1" customHeight="1">
      <c r="A139" s="46">
        <v>10</v>
      </c>
      <c r="B139" s="45" t="s">
        <v>129</v>
      </c>
      <c r="C139" s="45" t="s">
        <v>28</v>
      </c>
      <c r="D139" s="45" t="s">
        <v>130</v>
      </c>
      <c r="E139" s="45" t="s">
        <v>1066</v>
      </c>
      <c r="F139" s="46" t="s">
        <v>836</v>
      </c>
      <c r="G139" s="46">
        <v>426</v>
      </c>
      <c r="H139" s="46">
        <v>1</v>
      </c>
      <c r="I139" s="46" t="s">
        <v>780</v>
      </c>
      <c r="J139" s="45" t="s">
        <v>1067</v>
      </c>
      <c r="K139" s="46" t="s">
        <v>813</v>
      </c>
      <c r="L139" s="45" t="s">
        <v>1057</v>
      </c>
      <c r="M139" s="46">
        <v>428</v>
      </c>
      <c r="N139" s="46" t="s">
        <v>1070</v>
      </c>
      <c r="O139" s="46">
        <v>2</v>
      </c>
      <c r="P139" s="45" t="s">
        <v>1058</v>
      </c>
      <c r="Q139" s="47" t="s">
        <v>776</v>
      </c>
      <c r="R139" s="45" t="s">
        <v>784</v>
      </c>
    </row>
    <row r="140" spans="1:18" ht="32.1" hidden="1" customHeight="1">
      <c r="A140" s="46">
        <v>10</v>
      </c>
      <c r="B140" s="45" t="s">
        <v>129</v>
      </c>
      <c r="C140" s="45" t="s">
        <v>28</v>
      </c>
      <c r="D140" s="45" t="s">
        <v>130</v>
      </c>
      <c r="E140" s="45" t="s">
        <v>1066</v>
      </c>
      <c r="F140" s="46" t="s">
        <v>836</v>
      </c>
      <c r="G140" s="46">
        <v>426</v>
      </c>
      <c r="H140" s="46">
        <v>1</v>
      </c>
      <c r="I140" s="46" t="s">
        <v>780</v>
      </c>
      <c r="J140" s="45" t="s">
        <v>1067</v>
      </c>
      <c r="K140" s="46" t="s">
        <v>815</v>
      </c>
      <c r="L140" s="45" t="s">
        <v>1057</v>
      </c>
      <c r="M140" s="46">
        <v>428</v>
      </c>
      <c r="N140" s="46" t="s">
        <v>1071</v>
      </c>
      <c r="O140" s="46">
        <v>2</v>
      </c>
      <c r="P140" s="45" t="s">
        <v>1058</v>
      </c>
      <c r="Q140" s="47" t="s">
        <v>776</v>
      </c>
      <c r="R140" s="45" t="s">
        <v>784</v>
      </c>
    </row>
    <row r="141" spans="1:18" ht="32.1" hidden="1" customHeight="1">
      <c r="A141" s="46">
        <v>10</v>
      </c>
      <c r="B141" s="45" t="s">
        <v>129</v>
      </c>
      <c r="C141" s="45" t="s">
        <v>28</v>
      </c>
      <c r="D141" s="45" t="s">
        <v>130</v>
      </c>
      <c r="E141" s="45" t="s">
        <v>1066</v>
      </c>
      <c r="F141" s="46" t="s">
        <v>836</v>
      </c>
      <c r="G141" s="46">
        <v>426</v>
      </c>
      <c r="H141" s="46">
        <v>1</v>
      </c>
      <c r="I141" s="46" t="s">
        <v>780</v>
      </c>
      <c r="J141" s="45" t="s">
        <v>1067</v>
      </c>
      <c r="K141" s="46" t="s">
        <v>817</v>
      </c>
      <c r="L141" s="45" t="s">
        <v>1057</v>
      </c>
      <c r="M141" s="46">
        <v>428</v>
      </c>
      <c r="N141" s="46" t="s">
        <v>1072</v>
      </c>
      <c r="O141" s="46">
        <v>2</v>
      </c>
      <c r="P141" s="45" t="s">
        <v>1058</v>
      </c>
      <c r="Q141" s="47" t="s">
        <v>776</v>
      </c>
      <c r="R141" s="45" t="s">
        <v>784</v>
      </c>
    </row>
    <row r="142" spans="1:18" ht="32.1" hidden="1" customHeight="1">
      <c r="A142" s="46">
        <v>10</v>
      </c>
      <c r="B142" s="45" t="s">
        <v>129</v>
      </c>
      <c r="C142" s="45" t="s">
        <v>28</v>
      </c>
      <c r="D142" s="45" t="s">
        <v>130</v>
      </c>
      <c r="E142" s="45" t="s">
        <v>1035</v>
      </c>
      <c r="F142" s="46" t="s">
        <v>798</v>
      </c>
      <c r="G142" s="46">
        <v>1</v>
      </c>
      <c r="H142" s="46">
        <v>1</v>
      </c>
      <c r="I142" s="46" t="s">
        <v>780</v>
      </c>
      <c r="J142" s="45" t="s">
        <v>1001</v>
      </c>
      <c r="K142" s="46" t="s">
        <v>791</v>
      </c>
      <c r="L142" s="45" t="s">
        <v>1057</v>
      </c>
      <c r="M142" s="46">
        <v>435</v>
      </c>
      <c r="N142" s="46" t="s">
        <v>1039</v>
      </c>
      <c r="O142" s="46">
        <v>1</v>
      </c>
      <c r="P142" s="45" t="s">
        <v>1058</v>
      </c>
      <c r="Q142" s="47" t="s">
        <v>776</v>
      </c>
      <c r="R142" s="45" t="s">
        <v>784</v>
      </c>
    </row>
    <row r="143" spans="1:18" ht="32.1" hidden="1" customHeight="1">
      <c r="A143" s="46">
        <v>10</v>
      </c>
      <c r="B143" s="45" t="s">
        <v>129</v>
      </c>
      <c r="C143" s="45" t="s">
        <v>28</v>
      </c>
      <c r="D143" s="45" t="s">
        <v>130</v>
      </c>
      <c r="E143" s="45" t="s">
        <v>1073</v>
      </c>
      <c r="F143" s="46" t="s">
        <v>786</v>
      </c>
      <c r="G143" s="46">
        <v>7347</v>
      </c>
      <c r="H143" s="46">
        <v>1</v>
      </c>
      <c r="I143" s="46" t="s">
        <v>780</v>
      </c>
      <c r="J143" s="45" t="s">
        <v>888</v>
      </c>
      <c r="K143" s="46" t="s">
        <v>826</v>
      </c>
      <c r="L143" s="45" t="s">
        <v>1057</v>
      </c>
      <c r="M143" s="46">
        <v>436</v>
      </c>
      <c r="N143" s="46" t="s">
        <v>889</v>
      </c>
      <c r="O143" s="46">
        <v>2</v>
      </c>
      <c r="P143" s="45" t="s">
        <v>1058</v>
      </c>
      <c r="Q143" s="47" t="s">
        <v>776</v>
      </c>
      <c r="R143" s="45" t="s">
        <v>784</v>
      </c>
    </row>
    <row r="144" spans="1:18" ht="32.1" hidden="1" customHeight="1">
      <c r="A144" s="46">
        <v>10</v>
      </c>
      <c r="B144" s="45" t="s">
        <v>129</v>
      </c>
      <c r="C144" s="45" t="s">
        <v>28</v>
      </c>
      <c r="D144" s="45" t="s">
        <v>130</v>
      </c>
      <c r="E144" s="45" t="s">
        <v>1074</v>
      </c>
      <c r="F144" s="46" t="s">
        <v>802</v>
      </c>
      <c r="G144" s="46">
        <v>23</v>
      </c>
      <c r="H144" s="46">
        <v>1</v>
      </c>
      <c r="I144" s="46" t="s">
        <v>780</v>
      </c>
      <c r="J144" s="45" t="s">
        <v>1060</v>
      </c>
      <c r="K144" s="46" t="s">
        <v>791</v>
      </c>
      <c r="L144" s="45" t="s">
        <v>1057</v>
      </c>
      <c r="M144" s="46">
        <v>437</v>
      </c>
      <c r="N144" s="46" t="s">
        <v>1061</v>
      </c>
      <c r="O144" s="46">
        <v>1</v>
      </c>
      <c r="P144" s="45" t="s">
        <v>1058</v>
      </c>
      <c r="Q144" s="47" t="s">
        <v>776</v>
      </c>
      <c r="R144" s="45" t="s">
        <v>784</v>
      </c>
    </row>
    <row r="145" spans="1:18" ht="32.1" hidden="1" customHeight="1">
      <c r="A145" s="46">
        <v>10</v>
      </c>
      <c r="B145" s="45" t="s">
        <v>129</v>
      </c>
      <c r="C145" s="45" t="s">
        <v>28</v>
      </c>
      <c r="D145" s="45" t="s">
        <v>130</v>
      </c>
      <c r="E145" s="45" t="s">
        <v>1075</v>
      </c>
      <c r="F145" s="46" t="s">
        <v>794</v>
      </c>
      <c r="G145" s="46">
        <v>2</v>
      </c>
      <c r="H145" s="46">
        <v>1</v>
      </c>
      <c r="I145" s="46" t="s">
        <v>843</v>
      </c>
      <c r="J145" s="45" t="s">
        <v>880</v>
      </c>
      <c r="K145" s="46"/>
      <c r="L145" s="45" t="s">
        <v>1057</v>
      </c>
      <c r="M145" s="46">
        <v>445</v>
      </c>
      <c r="N145" s="46" t="s">
        <v>881</v>
      </c>
      <c r="O145" s="46">
        <v>1</v>
      </c>
      <c r="P145" s="45" t="s">
        <v>1058</v>
      </c>
      <c r="Q145" s="47" t="s">
        <v>776</v>
      </c>
      <c r="R145" s="45" t="s">
        <v>784</v>
      </c>
    </row>
    <row r="146" spans="1:18" ht="32.1" hidden="1" customHeight="1">
      <c r="A146" s="46">
        <v>11</v>
      </c>
      <c r="B146" s="45" t="s">
        <v>137</v>
      </c>
      <c r="C146" s="45" t="s">
        <v>28</v>
      </c>
      <c r="D146" s="45" t="s">
        <v>138</v>
      </c>
      <c r="E146" s="45" t="s">
        <v>1076</v>
      </c>
      <c r="F146" s="46" t="s">
        <v>770</v>
      </c>
      <c r="G146" s="46">
        <v>240</v>
      </c>
      <c r="H146" s="46">
        <v>1</v>
      </c>
      <c r="I146" s="46" t="s">
        <v>780</v>
      </c>
      <c r="J146" s="45" t="s">
        <v>916</v>
      </c>
      <c r="K146" s="46" t="s">
        <v>865</v>
      </c>
      <c r="L146" s="45" t="s">
        <v>1077</v>
      </c>
      <c r="M146" s="46">
        <v>590</v>
      </c>
      <c r="N146" s="46" t="s">
        <v>1052</v>
      </c>
      <c r="O146" s="46">
        <v>1</v>
      </c>
      <c r="P146" s="45" t="s">
        <v>1078</v>
      </c>
      <c r="Q146" s="47" t="s">
        <v>776</v>
      </c>
      <c r="R146" s="45" t="s">
        <v>784</v>
      </c>
    </row>
    <row r="147" spans="1:18" ht="32.1" hidden="1" customHeight="1">
      <c r="A147" s="46">
        <v>11</v>
      </c>
      <c r="B147" s="45" t="s">
        <v>137</v>
      </c>
      <c r="C147" s="45" t="s">
        <v>28</v>
      </c>
      <c r="D147" s="45" t="s">
        <v>138</v>
      </c>
      <c r="E147" s="45" t="s">
        <v>1024</v>
      </c>
      <c r="F147" s="46" t="s">
        <v>842</v>
      </c>
      <c r="G147" s="46">
        <v>24</v>
      </c>
      <c r="H147" s="46">
        <v>1</v>
      </c>
      <c r="I147" s="46" t="s">
        <v>780</v>
      </c>
      <c r="J147" s="45" t="s">
        <v>799</v>
      </c>
      <c r="K147" s="46" t="s">
        <v>824</v>
      </c>
      <c r="L147" s="45" t="s">
        <v>1077</v>
      </c>
      <c r="M147" s="46">
        <v>591</v>
      </c>
      <c r="N147" s="46" t="s">
        <v>902</v>
      </c>
      <c r="O147" s="46">
        <v>1</v>
      </c>
      <c r="P147" s="45" t="s">
        <v>1078</v>
      </c>
      <c r="Q147" s="47" t="s">
        <v>776</v>
      </c>
      <c r="R147" s="45" t="s">
        <v>784</v>
      </c>
    </row>
    <row r="148" spans="1:18" ht="32.1" hidden="1" customHeight="1">
      <c r="A148" s="46">
        <v>11</v>
      </c>
      <c r="B148" s="45" t="s">
        <v>137</v>
      </c>
      <c r="C148" s="45" t="s">
        <v>28</v>
      </c>
      <c r="D148" s="45" t="s">
        <v>138</v>
      </c>
      <c r="E148" s="45" t="s">
        <v>1079</v>
      </c>
      <c r="F148" s="46" t="s">
        <v>809</v>
      </c>
      <c r="G148" s="46">
        <v>959</v>
      </c>
      <c r="H148" s="46">
        <v>1</v>
      </c>
      <c r="I148" s="46" t="s">
        <v>780</v>
      </c>
      <c r="J148" s="45" t="s">
        <v>787</v>
      </c>
      <c r="K148" s="46" t="s">
        <v>813</v>
      </c>
      <c r="L148" s="45" t="s">
        <v>1077</v>
      </c>
      <c r="M148" s="46">
        <v>592</v>
      </c>
      <c r="N148" s="46" t="s">
        <v>837</v>
      </c>
      <c r="O148" s="46">
        <v>1</v>
      </c>
      <c r="P148" s="45" t="s">
        <v>1078</v>
      </c>
      <c r="Q148" s="47" t="s">
        <v>776</v>
      </c>
      <c r="R148" s="45" t="s">
        <v>784</v>
      </c>
    </row>
    <row r="149" spans="1:18" ht="32.1" hidden="1" customHeight="1">
      <c r="A149" s="46">
        <v>11</v>
      </c>
      <c r="B149" s="45" t="s">
        <v>137</v>
      </c>
      <c r="C149" s="45" t="s">
        <v>28</v>
      </c>
      <c r="D149" s="45" t="s">
        <v>138</v>
      </c>
      <c r="E149" s="45" t="s">
        <v>1080</v>
      </c>
      <c r="F149" s="46" t="s">
        <v>848</v>
      </c>
      <c r="G149" s="46">
        <v>317</v>
      </c>
      <c r="H149" s="46">
        <v>1</v>
      </c>
      <c r="I149" s="46" t="s">
        <v>780</v>
      </c>
      <c r="J149" s="45" t="s">
        <v>787</v>
      </c>
      <c r="K149" s="46" t="s">
        <v>806</v>
      </c>
      <c r="L149" s="45" t="s">
        <v>1077</v>
      </c>
      <c r="M149" s="46">
        <v>593</v>
      </c>
      <c r="N149" s="46" t="s">
        <v>872</v>
      </c>
      <c r="O149" s="46">
        <v>1</v>
      </c>
      <c r="P149" s="45" t="s">
        <v>1078</v>
      </c>
      <c r="Q149" s="47" t="s">
        <v>776</v>
      </c>
      <c r="R149" s="45" t="s">
        <v>784</v>
      </c>
    </row>
    <row r="150" spans="1:18" ht="32.1" hidden="1" customHeight="1">
      <c r="A150" s="46">
        <v>11</v>
      </c>
      <c r="B150" s="45" t="s">
        <v>137</v>
      </c>
      <c r="C150" s="45" t="s">
        <v>28</v>
      </c>
      <c r="D150" s="45" t="s">
        <v>138</v>
      </c>
      <c r="E150" s="45" t="s">
        <v>1081</v>
      </c>
      <c r="F150" s="46" t="s">
        <v>836</v>
      </c>
      <c r="G150" s="46">
        <v>291</v>
      </c>
      <c r="H150" s="46">
        <v>1</v>
      </c>
      <c r="I150" s="46" t="s">
        <v>780</v>
      </c>
      <c r="J150" s="45" t="s">
        <v>1060</v>
      </c>
      <c r="K150" s="46" t="s">
        <v>791</v>
      </c>
      <c r="L150" s="45" t="s">
        <v>1077</v>
      </c>
      <c r="M150" s="46">
        <v>594</v>
      </c>
      <c r="N150" s="46" t="s">
        <v>1061</v>
      </c>
      <c r="O150" s="46">
        <v>1</v>
      </c>
      <c r="P150" s="45" t="s">
        <v>1078</v>
      </c>
      <c r="Q150" s="47" t="s">
        <v>776</v>
      </c>
      <c r="R150" s="45" t="s">
        <v>784</v>
      </c>
    </row>
    <row r="151" spans="1:18" ht="32.1" hidden="1" customHeight="1">
      <c r="A151" s="46">
        <v>11</v>
      </c>
      <c r="B151" s="45" t="s">
        <v>137</v>
      </c>
      <c r="C151" s="45" t="s">
        <v>28</v>
      </c>
      <c r="D151" s="45" t="s">
        <v>138</v>
      </c>
      <c r="E151" s="45" t="s">
        <v>1082</v>
      </c>
      <c r="F151" s="46" t="s">
        <v>798</v>
      </c>
      <c r="G151" s="46">
        <v>1441</v>
      </c>
      <c r="H151" s="46">
        <v>1</v>
      </c>
      <c r="I151" s="46" t="s">
        <v>780</v>
      </c>
      <c r="J151" s="45" t="s">
        <v>1060</v>
      </c>
      <c r="K151" s="46" t="s">
        <v>782</v>
      </c>
      <c r="L151" s="45" t="s">
        <v>1077</v>
      </c>
      <c r="M151" s="46">
        <v>595</v>
      </c>
      <c r="N151" s="46" t="s">
        <v>1063</v>
      </c>
      <c r="O151" s="46">
        <v>2</v>
      </c>
      <c r="P151" s="45" t="s">
        <v>1078</v>
      </c>
      <c r="Q151" s="47" t="s">
        <v>776</v>
      </c>
      <c r="R151" s="45" t="s">
        <v>784</v>
      </c>
    </row>
    <row r="152" spans="1:18" ht="32.1" hidden="1" customHeight="1">
      <c r="A152" s="46">
        <v>11</v>
      </c>
      <c r="B152" s="45" t="s">
        <v>137</v>
      </c>
      <c r="C152" s="45" t="s">
        <v>28</v>
      </c>
      <c r="D152" s="45" t="s">
        <v>138</v>
      </c>
      <c r="E152" s="45" t="s">
        <v>1026</v>
      </c>
      <c r="F152" s="46" t="s">
        <v>786</v>
      </c>
      <c r="G152" s="46">
        <v>96</v>
      </c>
      <c r="H152" s="46">
        <v>1</v>
      </c>
      <c r="I152" s="46" t="s">
        <v>780</v>
      </c>
      <c r="J152" s="45" t="s">
        <v>1060</v>
      </c>
      <c r="K152" s="46" t="s">
        <v>813</v>
      </c>
      <c r="L152" s="45" t="s">
        <v>1077</v>
      </c>
      <c r="M152" s="46">
        <v>596</v>
      </c>
      <c r="N152" s="46" t="s">
        <v>1065</v>
      </c>
      <c r="O152" s="46">
        <v>2</v>
      </c>
      <c r="P152" s="45" t="s">
        <v>1078</v>
      </c>
      <c r="Q152" s="47" t="s">
        <v>776</v>
      </c>
      <c r="R152" s="45" t="s">
        <v>784</v>
      </c>
    </row>
    <row r="153" spans="1:18" ht="32.1" hidden="1" customHeight="1">
      <c r="A153" s="46">
        <v>11</v>
      </c>
      <c r="B153" s="45" t="s">
        <v>137</v>
      </c>
      <c r="C153" s="45" t="s">
        <v>28</v>
      </c>
      <c r="D153" s="45" t="s">
        <v>138</v>
      </c>
      <c r="E153" s="45" t="s">
        <v>1083</v>
      </c>
      <c r="F153" s="46" t="s">
        <v>802</v>
      </c>
      <c r="G153" s="46">
        <v>220</v>
      </c>
      <c r="H153" s="46">
        <v>1</v>
      </c>
      <c r="I153" s="46" t="s">
        <v>780</v>
      </c>
      <c r="J153" s="45" t="s">
        <v>1001</v>
      </c>
      <c r="K153" s="46" t="s">
        <v>791</v>
      </c>
      <c r="L153" s="45" t="s">
        <v>1077</v>
      </c>
      <c r="M153" s="46">
        <v>597</v>
      </c>
      <c r="N153" s="46" t="s">
        <v>1039</v>
      </c>
      <c r="O153" s="46">
        <v>1</v>
      </c>
      <c r="P153" s="45" t="s">
        <v>1078</v>
      </c>
      <c r="Q153" s="47" t="s">
        <v>776</v>
      </c>
      <c r="R153" s="45" t="s">
        <v>784</v>
      </c>
    </row>
    <row r="154" spans="1:18" ht="32.1" hidden="1" customHeight="1">
      <c r="A154" s="46">
        <v>11</v>
      </c>
      <c r="B154" s="45" t="s">
        <v>137</v>
      </c>
      <c r="C154" s="45" t="s">
        <v>28</v>
      </c>
      <c r="D154" s="45" t="s">
        <v>138</v>
      </c>
      <c r="E154" s="45" t="s">
        <v>1084</v>
      </c>
      <c r="F154" s="46" t="s">
        <v>794</v>
      </c>
      <c r="G154" s="46">
        <v>13</v>
      </c>
      <c r="H154" s="46">
        <v>1</v>
      </c>
      <c r="I154" s="46" t="s">
        <v>780</v>
      </c>
      <c r="J154" s="45" t="s">
        <v>1001</v>
      </c>
      <c r="K154" s="46" t="s">
        <v>821</v>
      </c>
      <c r="L154" s="45" t="s">
        <v>1077</v>
      </c>
      <c r="M154" s="46">
        <v>598</v>
      </c>
      <c r="N154" s="46" t="s">
        <v>1085</v>
      </c>
      <c r="O154" s="46">
        <v>1</v>
      </c>
      <c r="P154" s="45" t="s">
        <v>1078</v>
      </c>
      <c r="Q154" s="47" t="s">
        <v>776</v>
      </c>
      <c r="R154" s="45" t="s">
        <v>784</v>
      </c>
    </row>
    <row r="155" spans="1:18" ht="32.1" hidden="1" customHeight="1">
      <c r="A155" s="46">
        <v>11</v>
      </c>
      <c r="B155" s="45" t="s">
        <v>137</v>
      </c>
      <c r="C155" s="45" t="s">
        <v>28</v>
      </c>
      <c r="D155" s="45" t="s">
        <v>138</v>
      </c>
      <c r="E155" s="45" t="s">
        <v>1086</v>
      </c>
      <c r="F155" s="46" t="s">
        <v>804</v>
      </c>
      <c r="G155" s="46">
        <v>309</v>
      </c>
      <c r="H155" s="46">
        <v>1</v>
      </c>
      <c r="I155" s="46" t="s">
        <v>780</v>
      </c>
      <c r="J155" s="45" t="s">
        <v>1001</v>
      </c>
      <c r="K155" s="46" t="s">
        <v>795</v>
      </c>
      <c r="L155" s="45" t="s">
        <v>1077</v>
      </c>
      <c r="M155" s="46">
        <v>599</v>
      </c>
      <c r="N155" s="46" t="s">
        <v>1087</v>
      </c>
      <c r="O155" s="46">
        <v>2</v>
      </c>
      <c r="P155" s="45" t="s">
        <v>1078</v>
      </c>
      <c r="Q155" s="47" t="s">
        <v>776</v>
      </c>
      <c r="R155" s="45" t="s">
        <v>784</v>
      </c>
    </row>
    <row r="156" spans="1:18" ht="32.1" hidden="1" customHeight="1">
      <c r="A156" s="46">
        <v>11</v>
      </c>
      <c r="B156" s="45" t="s">
        <v>137</v>
      </c>
      <c r="C156" s="45" t="s">
        <v>28</v>
      </c>
      <c r="D156" s="45" t="s">
        <v>138</v>
      </c>
      <c r="E156" s="45" t="s">
        <v>1035</v>
      </c>
      <c r="F156" s="46" t="s">
        <v>879</v>
      </c>
      <c r="G156" s="46">
        <v>1</v>
      </c>
      <c r="H156" s="46">
        <v>1</v>
      </c>
      <c r="I156" s="46" t="s">
        <v>780</v>
      </c>
      <c r="J156" s="45" t="s">
        <v>1001</v>
      </c>
      <c r="K156" s="46" t="s">
        <v>826</v>
      </c>
      <c r="L156" s="45" t="s">
        <v>1077</v>
      </c>
      <c r="M156" s="46">
        <v>600</v>
      </c>
      <c r="N156" s="46" t="s">
        <v>1088</v>
      </c>
      <c r="O156" s="46">
        <v>1</v>
      </c>
      <c r="P156" s="45" t="s">
        <v>1078</v>
      </c>
      <c r="Q156" s="47" t="s">
        <v>776</v>
      </c>
      <c r="R156" s="45" t="s">
        <v>784</v>
      </c>
    </row>
    <row r="157" spans="1:18" ht="32.1" hidden="1" customHeight="1">
      <c r="A157" s="46">
        <v>11</v>
      </c>
      <c r="B157" s="45" t="s">
        <v>137</v>
      </c>
      <c r="C157" s="45" t="s">
        <v>28</v>
      </c>
      <c r="D157" s="45" t="s">
        <v>138</v>
      </c>
      <c r="E157" s="45" t="s">
        <v>1007</v>
      </c>
      <c r="F157" s="46" t="s">
        <v>883</v>
      </c>
      <c r="G157" s="46">
        <v>128</v>
      </c>
      <c r="H157" s="46">
        <v>1</v>
      </c>
      <c r="I157" s="46" t="s">
        <v>780</v>
      </c>
      <c r="J157" s="45" t="s">
        <v>805</v>
      </c>
      <c r="K157" s="46" t="s">
        <v>817</v>
      </c>
      <c r="L157" s="45" t="s">
        <v>1077</v>
      </c>
      <c r="M157" s="46">
        <v>601</v>
      </c>
      <c r="N157" s="46" t="s">
        <v>1089</v>
      </c>
      <c r="O157" s="46">
        <v>1</v>
      </c>
      <c r="P157" s="45" t="s">
        <v>1078</v>
      </c>
      <c r="Q157" s="47" t="s">
        <v>776</v>
      </c>
      <c r="R157" s="45" t="s">
        <v>784</v>
      </c>
    </row>
    <row r="158" spans="1:18" ht="32.1" hidden="1" customHeight="1">
      <c r="A158" s="46">
        <v>11</v>
      </c>
      <c r="B158" s="45" t="s">
        <v>137</v>
      </c>
      <c r="C158" s="45" t="s">
        <v>28</v>
      </c>
      <c r="D158" s="45" t="s">
        <v>138</v>
      </c>
      <c r="E158" s="45" t="s">
        <v>1090</v>
      </c>
      <c r="F158" s="46" t="s">
        <v>887</v>
      </c>
      <c r="G158" s="46">
        <v>1785</v>
      </c>
      <c r="H158" s="46">
        <v>1</v>
      </c>
      <c r="I158" s="46" t="s">
        <v>780</v>
      </c>
      <c r="J158" s="45" t="s">
        <v>888</v>
      </c>
      <c r="K158" s="46" t="s">
        <v>782</v>
      </c>
      <c r="L158" s="45" t="s">
        <v>1077</v>
      </c>
      <c r="M158" s="46">
        <v>602</v>
      </c>
      <c r="N158" s="46" t="s">
        <v>1091</v>
      </c>
      <c r="O158" s="46">
        <v>2</v>
      </c>
      <c r="P158" s="45" t="s">
        <v>1078</v>
      </c>
      <c r="Q158" s="47" t="s">
        <v>776</v>
      </c>
      <c r="R158" s="45" t="s">
        <v>784</v>
      </c>
    </row>
    <row r="159" spans="1:18" ht="32.1" hidden="1" customHeight="1">
      <c r="A159" s="46">
        <v>11</v>
      </c>
      <c r="B159" s="45" t="s">
        <v>137</v>
      </c>
      <c r="C159" s="45" t="s">
        <v>28</v>
      </c>
      <c r="D159" s="45" t="s">
        <v>138</v>
      </c>
      <c r="E159" s="45" t="s">
        <v>1092</v>
      </c>
      <c r="F159" s="46" t="s">
        <v>891</v>
      </c>
      <c r="G159" s="46">
        <v>2115</v>
      </c>
      <c r="H159" s="46">
        <v>1</v>
      </c>
      <c r="I159" s="46" t="s">
        <v>780</v>
      </c>
      <c r="J159" s="45" t="s">
        <v>888</v>
      </c>
      <c r="K159" s="46" t="s">
        <v>826</v>
      </c>
      <c r="L159" s="45" t="s">
        <v>1077</v>
      </c>
      <c r="M159" s="46">
        <v>603</v>
      </c>
      <c r="N159" s="46" t="s">
        <v>889</v>
      </c>
      <c r="O159" s="46">
        <v>2</v>
      </c>
      <c r="P159" s="45" t="s">
        <v>1078</v>
      </c>
      <c r="Q159" s="47" t="s">
        <v>776</v>
      </c>
      <c r="R159" s="45" t="s">
        <v>784</v>
      </c>
    </row>
    <row r="160" spans="1:18" ht="32.1" hidden="1" customHeight="1">
      <c r="A160" s="46">
        <v>11</v>
      </c>
      <c r="B160" s="45" t="s">
        <v>137</v>
      </c>
      <c r="C160" s="45" t="s">
        <v>28</v>
      </c>
      <c r="D160" s="45" t="s">
        <v>138</v>
      </c>
      <c r="E160" s="45" t="s">
        <v>1093</v>
      </c>
      <c r="F160" s="46" t="s">
        <v>895</v>
      </c>
      <c r="G160" s="46">
        <v>392</v>
      </c>
      <c r="H160" s="46">
        <v>1</v>
      </c>
      <c r="I160" s="46" t="s">
        <v>780</v>
      </c>
      <c r="J160" s="45" t="s">
        <v>1094</v>
      </c>
      <c r="K160" s="46" t="s">
        <v>791</v>
      </c>
      <c r="L160" s="45" t="s">
        <v>1077</v>
      </c>
      <c r="M160" s="46">
        <v>604</v>
      </c>
      <c r="N160" s="46" t="s">
        <v>1095</v>
      </c>
      <c r="O160" s="46">
        <v>1</v>
      </c>
      <c r="P160" s="45" t="s">
        <v>1078</v>
      </c>
      <c r="Q160" s="47" t="s">
        <v>776</v>
      </c>
      <c r="R160" s="45" t="s">
        <v>784</v>
      </c>
    </row>
    <row r="161" spans="1:18" ht="32.1" hidden="1" customHeight="1">
      <c r="A161" s="46">
        <v>11</v>
      </c>
      <c r="B161" s="45" t="s">
        <v>137</v>
      </c>
      <c r="C161" s="45" t="s">
        <v>28</v>
      </c>
      <c r="D161" s="45" t="s">
        <v>138</v>
      </c>
      <c r="E161" s="45" t="s">
        <v>1096</v>
      </c>
      <c r="F161" s="46" t="s">
        <v>898</v>
      </c>
      <c r="G161" s="46">
        <v>8</v>
      </c>
      <c r="H161" s="46">
        <v>1</v>
      </c>
      <c r="I161" s="46" t="s">
        <v>780</v>
      </c>
      <c r="J161" s="45" t="s">
        <v>1060</v>
      </c>
      <c r="K161" s="46" t="s">
        <v>791</v>
      </c>
      <c r="L161" s="45" t="s">
        <v>1077</v>
      </c>
      <c r="M161" s="46">
        <v>605</v>
      </c>
      <c r="N161" s="46" t="s">
        <v>1061</v>
      </c>
      <c r="O161" s="46">
        <v>1</v>
      </c>
      <c r="P161" s="45" t="s">
        <v>1078</v>
      </c>
      <c r="Q161" s="47" t="s">
        <v>776</v>
      </c>
      <c r="R161" s="45" t="s">
        <v>784</v>
      </c>
    </row>
    <row r="162" spans="1:18" ht="32.1" hidden="1" customHeight="1">
      <c r="A162" s="46">
        <v>11</v>
      </c>
      <c r="B162" s="45" t="s">
        <v>137</v>
      </c>
      <c r="C162" s="45" t="s">
        <v>28</v>
      </c>
      <c r="D162" s="45" t="s">
        <v>138</v>
      </c>
      <c r="E162" s="45" t="s">
        <v>1097</v>
      </c>
      <c r="F162" s="46" t="s">
        <v>901</v>
      </c>
      <c r="G162" s="46">
        <v>324</v>
      </c>
      <c r="H162" s="46">
        <v>1</v>
      </c>
      <c r="I162" s="46" t="s">
        <v>843</v>
      </c>
      <c r="J162" s="45" t="s">
        <v>1042</v>
      </c>
      <c r="K162" s="46"/>
      <c r="L162" s="45" t="s">
        <v>1077</v>
      </c>
      <c r="M162" s="46">
        <v>614</v>
      </c>
      <c r="N162" s="46" t="s">
        <v>845</v>
      </c>
      <c r="O162" s="46">
        <v>1</v>
      </c>
      <c r="P162" s="45" t="s">
        <v>1078</v>
      </c>
      <c r="Q162" s="47" t="s">
        <v>776</v>
      </c>
      <c r="R162" s="45" t="s">
        <v>784</v>
      </c>
    </row>
    <row r="163" spans="1:18" ht="32.1" hidden="1" customHeight="1">
      <c r="A163" s="46">
        <v>11</v>
      </c>
      <c r="B163" s="45" t="s">
        <v>137</v>
      </c>
      <c r="C163" s="45" t="s">
        <v>28</v>
      </c>
      <c r="D163" s="45" t="s">
        <v>138</v>
      </c>
      <c r="E163" s="45" t="s">
        <v>1034</v>
      </c>
      <c r="F163" s="46" t="s">
        <v>904</v>
      </c>
      <c r="G163" s="46">
        <v>4</v>
      </c>
      <c r="H163" s="46">
        <v>1</v>
      </c>
      <c r="I163" s="46" t="s">
        <v>780</v>
      </c>
      <c r="J163" s="45" t="s">
        <v>1001</v>
      </c>
      <c r="K163" s="46" t="s">
        <v>791</v>
      </c>
      <c r="L163" s="45" t="s">
        <v>1077</v>
      </c>
      <c r="M163" s="46">
        <v>615</v>
      </c>
      <c r="N163" s="46" t="s">
        <v>1039</v>
      </c>
      <c r="O163" s="46">
        <v>1</v>
      </c>
      <c r="P163" s="45" t="s">
        <v>1078</v>
      </c>
      <c r="Q163" s="47" t="s">
        <v>776</v>
      </c>
      <c r="R163" s="45" t="s">
        <v>784</v>
      </c>
    </row>
    <row r="164" spans="1:18" ht="32.1" hidden="1" customHeight="1">
      <c r="A164" s="46">
        <v>11</v>
      </c>
      <c r="B164" s="45" t="s">
        <v>137</v>
      </c>
      <c r="C164" s="45" t="s">
        <v>28</v>
      </c>
      <c r="D164" s="45" t="s">
        <v>138</v>
      </c>
      <c r="E164" s="45" t="s">
        <v>1034</v>
      </c>
      <c r="F164" s="46" t="s">
        <v>904</v>
      </c>
      <c r="G164" s="46">
        <v>4</v>
      </c>
      <c r="H164" s="46">
        <v>2</v>
      </c>
      <c r="I164" s="46" t="s">
        <v>780</v>
      </c>
      <c r="J164" s="45" t="s">
        <v>787</v>
      </c>
      <c r="K164" s="46" t="s">
        <v>806</v>
      </c>
      <c r="L164" s="45" t="s">
        <v>1077</v>
      </c>
      <c r="M164" s="46">
        <v>615</v>
      </c>
      <c r="N164" s="46" t="s">
        <v>872</v>
      </c>
      <c r="O164" s="46">
        <v>1</v>
      </c>
      <c r="P164" s="45" t="s">
        <v>1078</v>
      </c>
      <c r="Q164" s="47" t="s">
        <v>776</v>
      </c>
      <c r="R164" s="45" t="s">
        <v>784</v>
      </c>
    </row>
    <row r="165" spans="1:18" ht="32.1" hidden="1" customHeight="1">
      <c r="A165" s="46">
        <v>12</v>
      </c>
      <c r="B165" s="45" t="s">
        <v>145</v>
      </c>
      <c r="C165" s="45" t="s">
        <v>28</v>
      </c>
      <c r="D165" s="45" t="s">
        <v>146</v>
      </c>
      <c r="E165" s="45" t="s">
        <v>838</v>
      </c>
      <c r="F165" s="46" t="s">
        <v>770</v>
      </c>
      <c r="G165" s="46">
        <v>0</v>
      </c>
      <c r="H165" s="46">
        <v>1</v>
      </c>
      <c r="I165" s="46" t="s">
        <v>780</v>
      </c>
      <c r="J165" s="45" t="s">
        <v>916</v>
      </c>
      <c r="K165" s="46" t="s">
        <v>831</v>
      </c>
      <c r="L165" s="45" t="s">
        <v>1098</v>
      </c>
      <c r="M165" s="46">
        <v>394</v>
      </c>
      <c r="N165" s="46" t="s">
        <v>1099</v>
      </c>
      <c r="O165" s="46">
        <v>1</v>
      </c>
      <c r="P165" s="45" t="s">
        <v>1100</v>
      </c>
      <c r="Q165" s="47" t="s">
        <v>776</v>
      </c>
      <c r="R165" s="45" t="s">
        <v>784</v>
      </c>
    </row>
    <row r="166" spans="1:18" ht="32.1" hidden="1" customHeight="1">
      <c r="A166" s="46">
        <v>12</v>
      </c>
      <c r="B166" s="45" t="s">
        <v>145</v>
      </c>
      <c r="C166" s="45" t="s">
        <v>28</v>
      </c>
      <c r="D166" s="45" t="s">
        <v>146</v>
      </c>
      <c r="E166" s="45" t="s">
        <v>838</v>
      </c>
      <c r="F166" s="46" t="s">
        <v>770</v>
      </c>
      <c r="G166" s="46">
        <v>0</v>
      </c>
      <c r="H166" s="46">
        <v>1</v>
      </c>
      <c r="I166" s="46" t="s">
        <v>780</v>
      </c>
      <c r="J166" s="45" t="s">
        <v>1101</v>
      </c>
      <c r="K166" s="46" t="s">
        <v>829</v>
      </c>
      <c r="L166" s="45" t="s">
        <v>1098</v>
      </c>
      <c r="M166" s="46">
        <v>394</v>
      </c>
      <c r="N166" s="46" t="s">
        <v>1102</v>
      </c>
      <c r="O166" s="46">
        <v>1</v>
      </c>
      <c r="P166" s="45" t="s">
        <v>1100</v>
      </c>
      <c r="Q166" s="47" t="s">
        <v>776</v>
      </c>
      <c r="R166" s="45" t="s">
        <v>784</v>
      </c>
    </row>
    <row r="167" spans="1:18" ht="32.1" hidden="1" customHeight="1">
      <c r="A167" s="46">
        <v>12</v>
      </c>
      <c r="B167" s="45" t="s">
        <v>145</v>
      </c>
      <c r="C167" s="45" t="s">
        <v>28</v>
      </c>
      <c r="D167" s="45" t="s">
        <v>146</v>
      </c>
      <c r="E167" s="45" t="s">
        <v>838</v>
      </c>
      <c r="F167" s="46" t="s">
        <v>842</v>
      </c>
      <c r="G167" s="46">
        <v>0</v>
      </c>
      <c r="H167" s="46">
        <v>1</v>
      </c>
      <c r="I167" s="46" t="s">
        <v>780</v>
      </c>
      <c r="J167" s="45" t="s">
        <v>916</v>
      </c>
      <c r="K167" s="46" t="s">
        <v>833</v>
      </c>
      <c r="L167" s="45" t="s">
        <v>1098</v>
      </c>
      <c r="M167" s="46">
        <v>395</v>
      </c>
      <c r="N167" s="46" t="s">
        <v>1103</v>
      </c>
      <c r="O167" s="46">
        <v>1</v>
      </c>
      <c r="P167" s="45" t="s">
        <v>1100</v>
      </c>
      <c r="Q167" s="47" t="s">
        <v>776</v>
      </c>
      <c r="R167" s="45" t="s">
        <v>784</v>
      </c>
    </row>
    <row r="168" spans="1:18" ht="32.1" hidden="1" customHeight="1">
      <c r="A168" s="46">
        <v>12</v>
      </c>
      <c r="B168" s="45" t="s">
        <v>145</v>
      </c>
      <c r="C168" s="45" t="s">
        <v>28</v>
      </c>
      <c r="D168" s="45" t="s">
        <v>146</v>
      </c>
      <c r="E168" s="45" t="s">
        <v>838</v>
      </c>
      <c r="F168" s="46" t="s">
        <v>842</v>
      </c>
      <c r="G168" s="46">
        <v>0</v>
      </c>
      <c r="H168" s="46">
        <v>1</v>
      </c>
      <c r="I168" s="46" t="s">
        <v>780</v>
      </c>
      <c r="J168" s="45" t="s">
        <v>1101</v>
      </c>
      <c r="K168" s="46" t="s">
        <v>831</v>
      </c>
      <c r="L168" s="45" t="s">
        <v>1098</v>
      </c>
      <c r="M168" s="46">
        <v>395</v>
      </c>
      <c r="N168" s="46" t="s">
        <v>1104</v>
      </c>
      <c r="O168" s="46">
        <v>1</v>
      </c>
      <c r="P168" s="45" t="s">
        <v>1100</v>
      </c>
      <c r="Q168" s="47" t="s">
        <v>776</v>
      </c>
      <c r="R168" s="45" t="s">
        <v>784</v>
      </c>
    </row>
    <row r="169" spans="1:18" ht="32.1" hidden="1" customHeight="1">
      <c r="A169" s="46">
        <v>12</v>
      </c>
      <c r="B169" s="45" t="s">
        <v>145</v>
      </c>
      <c r="C169" s="45" t="s">
        <v>28</v>
      </c>
      <c r="D169" s="45" t="s">
        <v>146</v>
      </c>
      <c r="E169" s="45" t="s">
        <v>838</v>
      </c>
      <c r="F169" s="46" t="s">
        <v>809</v>
      </c>
      <c r="G169" s="46">
        <v>0</v>
      </c>
      <c r="H169" s="46">
        <v>1</v>
      </c>
      <c r="I169" s="46" t="s">
        <v>780</v>
      </c>
      <c r="J169" s="45" t="s">
        <v>916</v>
      </c>
      <c r="K169" s="46" t="s">
        <v>865</v>
      </c>
      <c r="L169" s="45" t="s">
        <v>1098</v>
      </c>
      <c r="M169" s="46">
        <v>396</v>
      </c>
      <c r="N169" s="46" t="s">
        <v>1052</v>
      </c>
      <c r="O169" s="46">
        <v>1</v>
      </c>
      <c r="P169" s="45" t="s">
        <v>1100</v>
      </c>
      <c r="Q169" s="47" t="s">
        <v>776</v>
      </c>
      <c r="R169" s="45" t="s">
        <v>784</v>
      </c>
    </row>
    <row r="170" spans="1:18" ht="32.1" hidden="1" customHeight="1">
      <c r="A170" s="46">
        <v>12</v>
      </c>
      <c r="B170" s="45" t="s">
        <v>145</v>
      </c>
      <c r="C170" s="45" t="s">
        <v>28</v>
      </c>
      <c r="D170" s="45" t="s">
        <v>146</v>
      </c>
      <c r="E170" s="45" t="s">
        <v>838</v>
      </c>
      <c r="F170" s="46" t="s">
        <v>809</v>
      </c>
      <c r="G170" s="46">
        <v>0</v>
      </c>
      <c r="H170" s="46">
        <v>1</v>
      </c>
      <c r="I170" s="46" t="s">
        <v>780</v>
      </c>
      <c r="J170" s="45" t="s">
        <v>1105</v>
      </c>
      <c r="K170" s="46" t="s">
        <v>806</v>
      </c>
      <c r="L170" s="45" t="s">
        <v>1098</v>
      </c>
      <c r="M170" s="46">
        <v>396</v>
      </c>
      <c r="N170" s="46" t="s">
        <v>1106</v>
      </c>
      <c r="O170" s="46">
        <v>1</v>
      </c>
      <c r="P170" s="45" t="s">
        <v>1100</v>
      </c>
      <c r="Q170" s="47" t="s">
        <v>776</v>
      </c>
      <c r="R170" s="45" t="s">
        <v>784</v>
      </c>
    </row>
    <row r="171" spans="1:18" ht="32.1" hidden="1" customHeight="1">
      <c r="A171" s="46">
        <v>12</v>
      </c>
      <c r="B171" s="45" t="s">
        <v>145</v>
      </c>
      <c r="C171" s="45" t="s">
        <v>28</v>
      </c>
      <c r="D171" s="45" t="s">
        <v>146</v>
      </c>
      <c r="E171" s="45" t="s">
        <v>838</v>
      </c>
      <c r="F171" s="46" t="s">
        <v>848</v>
      </c>
      <c r="G171" s="46">
        <v>0</v>
      </c>
      <c r="H171" s="46">
        <v>1</v>
      </c>
      <c r="I171" s="46" t="s">
        <v>780</v>
      </c>
      <c r="J171" s="45" t="s">
        <v>1001</v>
      </c>
      <c r="K171" s="46" t="s">
        <v>865</v>
      </c>
      <c r="L171" s="45" t="s">
        <v>1098</v>
      </c>
      <c r="M171" s="46">
        <v>397</v>
      </c>
      <c r="N171" s="46" t="s">
        <v>1107</v>
      </c>
      <c r="O171" s="46">
        <v>1</v>
      </c>
      <c r="P171" s="45" t="s">
        <v>1100</v>
      </c>
      <c r="Q171" s="47" t="s">
        <v>776</v>
      </c>
      <c r="R171" s="45" t="s">
        <v>784</v>
      </c>
    </row>
    <row r="172" spans="1:18" ht="32.1" hidden="1" customHeight="1">
      <c r="A172" s="46">
        <v>12</v>
      </c>
      <c r="B172" s="45" t="s">
        <v>145</v>
      </c>
      <c r="C172" s="45" t="s">
        <v>28</v>
      </c>
      <c r="D172" s="45" t="s">
        <v>146</v>
      </c>
      <c r="E172" s="45" t="s">
        <v>838</v>
      </c>
      <c r="F172" s="46" t="s">
        <v>848</v>
      </c>
      <c r="G172" s="46">
        <v>0</v>
      </c>
      <c r="H172" s="46">
        <v>2</v>
      </c>
      <c r="I172" s="46" t="s">
        <v>780</v>
      </c>
      <c r="J172" s="45" t="s">
        <v>1108</v>
      </c>
      <c r="K172" s="46" t="s">
        <v>791</v>
      </c>
      <c r="L172" s="45" t="s">
        <v>1098</v>
      </c>
      <c r="M172" s="46">
        <v>397</v>
      </c>
      <c r="N172" s="46" t="s">
        <v>1109</v>
      </c>
      <c r="O172" s="46">
        <v>1</v>
      </c>
      <c r="P172" s="45" t="s">
        <v>1100</v>
      </c>
      <c r="Q172" s="47" t="s">
        <v>776</v>
      </c>
      <c r="R172" s="45" t="s">
        <v>784</v>
      </c>
    </row>
    <row r="173" spans="1:18" ht="32.1" hidden="1" customHeight="1">
      <c r="A173" s="46">
        <v>12</v>
      </c>
      <c r="B173" s="45" t="s">
        <v>145</v>
      </c>
      <c r="C173" s="45" t="s">
        <v>28</v>
      </c>
      <c r="D173" s="45" t="s">
        <v>146</v>
      </c>
      <c r="E173" s="45" t="s">
        <v>838</v>
      </c>
      <c r="F173" s="46" t="s">
        <v>848</v>
      </c>
      <c r="G173" s="46">
        <v>0</v>
      </c>
      <c r="H173" s="46">
        <v>3</v>
      </c>
      <c r="I173" s="46" t="s">
        <v>780</v>
      </c>
      <c r="J173" s="45" t="s">
        <v>1108</v>
      </c>
      <c r="K173" s="46" t="s">
        <v>782</v>
      </c>
      <c r="L173" s="45" t="s">
        <v>1098</v>
      </c>
      <c r="M173" s="46">
        <v>397</v>
      </c>
      <c r="N173" s="46" t="s">
        <v>1110</v>
      </c>
      <c r="O173" s="46">
        <v>1</v>
      </c>
      <c r="P173" s="45" t="s">
        <v>1100</v>
      </c>
      <c r="Q173" s="47" t="s">
        <v>776</v>
      </c>
      <c r="R173" s="45" t="s">
        <v>784</v>
      </c>
    </row>
    <row r="174" spans="1:18" ht="32.1" hidden="1" customHeight="1">
      <c r="A174" s="46">
        <v>12</v>
      </c>
      <c r="B174" s="45" t="s">
        <v>145</v>
      </c>
      <c r="C174" s="45" t="s">
        <v>28</v>
      </c>
      <c r="D174" s="45" t="s">
        <v>146</v>
      </c>
      <c r="E174" s="45" t="s">
        <v>838</v>
      </c>
      <c r="F174" s="46" t="s">
        <v>848</v>
      </c>
      <c r="G174" s="46">
        <v>0</v>
      </c>
      <c r="H174" s="46">
        <v>4</v>
      </c>
      <c r="I174" s="46" t="s">
        <v>780</v>
      </c>
      <c r="J174" s="45" t="s">
        <v>1108</v>
      </c>
      <c r="K174" s="46" t="s">
        <v>813</v>
      </c>
      <c r="L174" s="45" t="s">
        <v>1098</v>
      </c>
      <c r="M174" s="46">
        <v>397</v>
      </c>
      <c r="N174" s="46" t="s">
        <v>1111</v>
      </c>
      <c r="O174" s="46">
        <v>1</v>
      </c>
      <c r="P174" s="45" t="s">
        <v>1100</v>
      </c>
      <c r="Q174" s="47" t="s">
        <v>776</v>
      </c>
      <c r="R174" s="45" t="s">
        <v>784</v>
      </c>
    </row>
    <row r="175" spans="1:18" ht="32.1" hidden="1" customHeight="1">
      <c r="A175" s="46">
        <v>12</v>
      </c>
      <c r="B175" s="45" t="s">
        <v>145</v>
      </c>
      <c r="C175" s="45" t="s">
        <v>28</v>
      </c>
      <c r="D175" s="45" t="s">
        <v>146</v>
      </c>
      <c r="E175" s="45" t="s">
        <v>838</v>
      </c>
      <c r="F175" s="46" t="s">
        <v>848</v>
      </c>
      <c r="G175" s="46">
        <v>0</v>
      </c>
      <c r="H175" s="46">
        <v>5</v>
      </c>
      <c r="I175" s="46" t="s">
        <v>780</v>
      </c>
      <c r="J175" s="45" t="s">
        <v>1108</v>
      </c>
      <c r="K175" s="46" t="s">
        <v>815</v>
      </c>
      <c r="L175" s="45" t="s">
        <v>1098</v>
      </c>
      <c r="M175" s="46">
        <v>397</v>
      </c>
      <c r="N175" s="46" t="s">
        <v>1112</v>
      </c>
      <c r="O175" s="46">
        <v>1</v>
      </c>
      <c r="P175" s="45" t="s">
        <v>1100</v>
      </c>
      <c r="Q175" s="47" t="s">
        <v>776</v>
      </c>
      <c r="R175" s="45" t="s">
        <v>784</v>
      </c>
    </row>
    <row r="176" spans="1:18" ht="32.1" hidden="1" customHeight="1">
      <c r="A176" s="46">
        <v>12</v>
      </c>
      <c r="B176" s="45" t="s">
        <v>145</v>
      </c>
      <c r="C176" s="45" t="s">
        <v>28</v>
      </c>
      <c r="D176" s="45" t="s">
        <v>146</v>
      </c>
      <c r="E176" s="45" t="s">
        <v>838</v>
      </c>
      <c r="F176" s="46" t="s">
        <v>848</v>
      </c>
      <c r="G176" s="46">
        <v>0</v>
      </c>
      <c r="H176" s="46">
        <v>6</v>
      </c>
      <c r="I176" s="46" t="s">
        <v>780</v>
      </c>
      <c r="J176" s="45" t="s">
        <v>1108</v>
      </c>
      <c r="K176" s="46" t="s">
        <v>817</v>
      </c>
      <c r="L176" s="45" t="s">
        <v>1098</v>
      </c>
      <c r="M176" s="46">
        <v>397</v>
      </c>
      <c r="N176" s="46" t="s">
        <v>1113</v>
      </c>
      <c r="O176" s="46">
        <v>1</v>
      </c>
      <c r="P176" s="45" t="s">
        <v>1100</v>
      </c>
      <c r="Q176" s="47" t="s">
        <v>776</v>
      </c>
      <c r="R176" s="45" t="s">
        <v>784</v>
      </c>
    </row>
    <row r="177" spans="1:18" ht="32.1" hidden="1" customHeight="1">
      <c r="A177" s="46">
        <v>12</v>
      </c>
      <c r="B177" s="45" t="s">
        <v>145</v>
      </c>
      <c r="C177" s="45" t="s">
        <v>28</v>
      </c>
      <c r="D177" s="45" t="s">
        <v>146</v>
      </c>
      <c r="E177" s="45" t="s">
        <v>838</v>
      </c>
      <c r="F177" s="46" t="s">
        <v>848</v>
      </c>
      <c r="G177" s="46">
        <v>0</v>
      </c>
      <c r="H177" s="46">
        <v>7</v>
      </c>
      <c r="I177" s="46" t="s">
        <v>780</v>
      </c>
      <c r="J177" s="45" t="s">
        <v>1108</v>
      </c>
      <c r="K177" s="46" t="s">
        <v>819</v>
      </c>
      <c r="L177" s="45" t="s">
        <v>1098</v>
      </c>
      <c r="M177" s="46">
        <v>397</v>
      </c>
      <c r="N177" s="46" t="s">
        <v>1114</v>
      </c>
      <c r="O177" s="46">
        <v>1</v>
      </c>
      <c r="P177" s="45" t="s">
        <v>1100</v>
      </c>
      <c r="Q177" s="47" t="s">
        <v>776</v>
      </c>
      <c r="R177" s="45" t="s">
        <v>784</v>
      </c>
    </row>
    <row r="178" spans="1:18" ht="32.1" hidden="1" customHeight="1">
      <c r="A178" s="46">
        <v>12</v>
      </c>
      <c r="B178" s="45" t="s">
        <v>145</v>
      </c>
      <c r="C178" s="45" t="s">
        <v>28</v>
      </c>
      <c r="D178" s="45" t="s">
        <v>146</v>
      </c>
      <c r="E178" s="45" t="s">
        <v>838</v>
      </c>
      <c r="F178" s="46" t="s">
        <v>848</v>
      </c>
      <c r="G178" s="46">
        <v>0</v>
      </c>
      <c r="H178" s="46">
        <v>8</v>
      </c>
      <c r="I178" s="46" t="s">
        <v>780</v>
      </c>
      <c r="J178" s="45" t="s">
        <v>1108</v>
      </c>
      <c r="K178" s="46" t="s">
        <v>821</v>
      </c>
      <c r="L178" s="45" t="s">
        <v>1098</v>
      </c>
      <c r="M178" s="46">
        <v>397</v>
      </c>
      <c r="N178" s="46" t="s">
        <v>1115</v>
      </c>
      <c r="O178" s="46">
        <v>1</v>
      </c>
      <c r="P178" s="45" t="s">
        <v>1100</v>
      </c>
      <c r="Q178" s="47" t="s">
        <v>776</v>
      </c>
      <c r="R178" s="45" t="s">
        <v>784</v>
      </c>
    </row>
    <row r="179" spans="1:18" ht="32.1" hidden="1" customHeight="1">
      <c r="A179" s="46">
        <v>12</v>
      </c>
      <c r="B179" s="45" t="s">
        <v>145</v>
      </c>
      <c r="C179" s="45" t="s">
        <v>28</v>
      </c>
      <c r="D179" s="45" t="s">
        <v>146</v>
      </c>
      <c r="E179" s="45" t="s">
        <v>838</v>
      </c>
      <c r="F179" s="46" t="s">
        <v>848</v>
      </c>
      <c r="G179" s="46">
        <v>0</v>
      </c>
      <c r="H179" s="46">
        <v>9</v>
      </c>
      <c r="I179" s="46" t="s">
        <v>780</v>
      </c>
      <c r="J179" s="45" t="s">
        <v>1108</v>
      </c>
      <c r="K179" s="46" t="s">
        <v>795</v>
      </c>
      <c r="L179" s="45" t="s">
        <v>1098</v>
      </c>
      <c r="M179" s="46">
        <v>397</v>
      </c>
      <c r="N179" s="46" t="s">
        <v>1116</v>
      </c>
      <c r="O179" s="46">
        <v>1</v>
      </c>
      <c r="P179" s="45" t="s">
        <v>1100</v>
      </c>
      <c r="Q179" s="47" t="s">
        <v>776</v>
      </c>
      <c r="R179" s="45" t="s">
        <v>784</v>
      </c>
    </row>
    <row r="180" spans="1:18" ht="32.1" hidden="1" customHeight="1">
      <c r="A180" s="46">
        <v>12</v>
      </c>
      <c r="B180" s="45" t="s">
        <v>145</v>
      </c>
      <c r="C180" s="45" t="s">
        <v>28</v>
      </c>
      <c r="D180" s="45" t="s">
        <v>146</v>
      </c>
      <c r="E180" s="45" t="s">
        <v>838</v>
      </c>
      <c r="F180" s="46" t="s">
        <v>848</v>
      </c>
      <c r="G180" s="46">
        <v>0</v>
      </c>
      <c r="H180" s="46">
        <v>10</v>
      </c>
      <c r="I180" s="46" t="s">
        <v>780</v>
      </c>
      <c r="J180" s="45" t="s">
        <v>1108</v>
      </c>
      <c r="K180" s="46" t="s">
        <v>824</v>
      </c>
      <c r="L180" s="45" t="s">
        <v>1098</v>
      </c>
      <c r="M180" s="46">
        <v>397</v>
      </c>
      <c r="N180" s="46" t="s">
        <v>1117</v>
      </c>
      <c r="O180" s="46">
        <v>1</v>
      </c>
      <c r="P180" s="45" t="s">
        <v>1100</v>
      </c>
      <c r="Q180" s="47" t="s">
        <v>776</v>
      </c>
      <c r="R180" s="45" t="s">
        <v>784</v>
      </c>
    </row>
    <row r="181" spans="1:18" ht="32.1" hidden="1" customHeight="1">
      <c r="A181" s="46">
        <v>12</v>
      </c>
      <c r="B181" s="45" t="s">
        <v>145</v>
      </c>
      <c r="C181" s="45" t="s">
        <v>28</v>
      </c>
      <c r="D181" s="45" t="s">
        <v>146</v>
      </c>
      <c r="E181" s="45" t="s">
        <v>838</v>
      </c>
      <c r="F181" s="46" t="s">
        <v>836</v>
      </c>
      <c r="G181" s="46">
        <v>0</v>
      </c>
      <c r="H181" s="46">
        <v>1</v>
      </c>
      <c r="I181" s="46" t="s">
        <v>780</v>
      </c>
      <c r="J181" s="45" t="s">
        <v>916</v>
      </c>
      <c r="K181" s="46" t="s">
        <v>831</v>
      </c>
      <c r="L181" s="45" t="s">
        <v>1098</v>
      </c>
      <c r="M181" s="46">
        <v>415</v>
      </c>
      <c r="N181" s="46" t="s">
        <v>1099</v>
      </c>
      <c r="O181" s="46">
        <v>1</v>
      </c>
      <c r="P181" s="45" t="s">
        <v>1100</v>
      </c>
      <c r="Q181" s="47" t="s">
        <v>776</v>
      </c>
      <c r="R181" s="45" t="s">
        <v>784</v>
      </c>
    </row>
    <row r="182" spans="1:18" ht="32.1" hidden="1" customHeight="1">
      <c r="A182" s="46">
        <v>12</v>
      </c>
      <c r="B182" s="45" t="s">
        <v>145</v>
      </c>
      <c r="C182" s="45" t="s">
        <v>28</v>
      </c>
      <c r="D182" s="45" t="s">
        <v>146</v>
      </c>
      <c r="E182" s="45" t="s">
        <v>838</v>
      </c>
      <c r="F182" s="46" t="s">
        <v>836</v>
      </c>
      <c r="G182" s="46">
        <v>0</v>
      </c>
      <c r="H182" s="46">
        <v>1</v>
      </c>
      <c r="I182" s="46" t="s">
        <v>780</v>
      </c>
      <c r="J182" s="45" t="s">
        <v>1101</v>
      </c>
      <c r="K182" s="46" t="s">
        <v>829</v>
      </c>
      <c r="L182" s="45" t="s">
        <v>1098</v>
      </c>
      <c r="M182" s="46">
        <v>415</v>
      </c>
      <c r="N182" s="46" t="s">
        <v>1102</v>
      </c>
      <c r="O182" s="46">
        <v>1</v>
      </c>
      <c r="P182" s="45" t="s">
        <v>1100</v>
      </c>
      <c r="Q182" s="47" t="s">
        <v>776</v>
      </c>
      <c r="R182" s="45" t="s">
        <v>784</v>
      </c>
    </row>
    <row r="183" spans="1:18" ht="32.1" hidden="1" customHeight="1">
      <c r="A183" s="46">
        <v>12</v>
      </c>
      <c r="B183" s="45" t="s">
        <v>145</v>
      </c>
      <c r="C183" s="45" t="s">
        <v>28</v>
      </c>
      <c r="D183" s="45" t="s">
        <v>146</v>
      </c>
      <c r="E183" s="45" t="s">
        <v>838</v>
      </c>
      <c r="F183" s="46" t="s">
        <v>798</v>
      </c>
      <c r="G183" s="46">
        <v>0</v>
      </c>
      <c r="H183" s="46">
        <v>1</v>
      </c>
      <c r="I183" s="46" t="s">
        <v>780</v>
      </c>
      <c r="J183" s="45" t="s">
        <v>916</v>
      </c>
      <c r="K183" s="46" t="s">
        <v>833</v>
      </c>
      <c r="L183" s="45" t="s">
        <v>1098</v>
      </c>
      <c r="M183" s="46">
        <v>423</v>
      </c>
      <c r="N183" s="46" t="s">
        <v>1103</v>
      </c>
      <c r="O183" s="46">
        <v>1</v>
      </c>
      <c r="P183" s="45" t="s">
        <v>1100</v>
      </c>
      <c r="Q183" s="47" t="s">
        <v>776</v>
      </c>
      <c r="R183" s="45" t="s">
        <v>784</v>
      </c>
    </row>
    <row r="184" spans="1:18" ht="32.1" hidden="1" customHeight="1">
      <c r="A184" s="46">
        <v>12</v>
      </c>
      <c r="B184" s="45" t="s">
        <v>145</v>
      </c>
      <c r="C184" s="45" t="s">
        <v>28</v>
      </c>
      <c r="D184" s="45" t="s">
        <v>146</v>
      </c>
      <c r="E184" s="45" t="s">
        <v>838</v>
      </c>
      <c r="F184" s="46" t="s">
        <v>798</v>
      </c>
      <c r="G184" s="46">
        <v>0</v>
      </c>
      <c r="H184" s="46">
        <v>1</v>
      </c>
      <c r="I184" s="46" t="s">
        <v>780</v>
      </c>
      <c r="J184" s="45" t="s">
        <v>1101</v>
      </c>
      <c r="K184" s="46" t="s">
        <v>831</v>
      </c>
      <c r="L184" s="45" t="s">
        <v>1098</v>
      </c>
      <c r="M184" s="46">
        <v>423</v>
      </c>
      <c r="N184" s="46" t="s">
        <v>1104</v>
      </c>
      <c r="O184" s="46">
        <v>1</v>
      </c>
      <c r="P184" s="45" t="s">
        <v>1100</v>
      </c>
      <c r="Q184" s="47" t="s">
        <v>776</v>
      </c>
      <c r="R184" s="45" t="s">
        <v>784</v>
      </c>
    </row>
    <row r="185" spans="1:18" ht="32.1" hidden="1" customHeight="1">
      <c r="A185" s="46">
        <v>13</v>
      </c>
      <c r="B185" s="45" t="s">
        <v>153</v>
      </c>
      <c r="C185" s="45" t="s">
        <v>28</v>
      </c>
      <c r="D185" s="45" t="s">
        <v>154</v>
      </c>
      <c r="E185" s="45" t="s">
        <v>1118</v>
      </c>
      <c r="F185" s="46" t="s">
        <v>770</v>
      </c>
      <c r="G185" s="46">
        <v>295</v>
      </c>
      <c r="H185" s="46">
        <v>1</v>
      </c>
      <c r="I185" s="46" t="s">
        <v>780</v>
      </c>
      <c r="J185" s="45" t="s">
        <v>1001</v>
      </c>
      <c r="K185" s="46" t="s">
        <v>817</v>
      </c>
      <c r="L185" s="45" t="s">
        <v>1119</v>
      </c>
      <c r="M185" s="46">
        <v>88</v>
      </c>
      <c r="N185" s="46" t="s">
        <v>1002</v>
      </c>
      <c r="O185" s="46">
        <v>1</v>
      </c>
      <c r="P185" s="45" t="s">
        <v>1120</v>
      </c>
      <c r="Q185" s="47" t="s">
        <v>776</v>
      </c>
      <c r="R185" s="45" t="s">
        <v>784</v>
      </c>
    </row>
    <row r="186" spans="1:18" ht="32.1" hidden="1" customHeight="1">
      <c r="A186" s="46">
        <v>13</v>
      </c>
      <c r="B186" s="45" t="s">
        <v>153</v>
      </c>
      <c r="C186" s="45" t="s">
        <v>28</v>
      </c>
      <c r="D186" s="45" t="s">
        <v>154</v>
      </c>
      <c r="E186" s="45" t="s">
        <v>1121</v>
      </c>
      <c r="F186" s="46" t="s">
        <v>842</v>
      </c>
      <c r="G186" s="46">
        <v>16</v>
      </c>
      <c r="H186" s="46">
        <v>1</v>
      </c>
      <c r="I186" s="46" t="s">
        <v>780</v>
      </c>
      <c r="J186" s="45" t="s">
        <v>1001</v>
      </c>
      <c r="K186" s="46" t="s">
        <v>795</v>
      </c>
      <c r="L186" s="45" t="s">
        <v>1119</v>
      </c>
      <c r="M186" s="46">
        <v>89</v>
      </c>
      <c r="N186" s="46" t="s">
        <v>1087</v>
      </c>
      <c r="O186" s="46">
        <v>2</v>
      </c>
      <c r="P186" s="45" t="s">
        <v>1120</v>
      </c>
      <c r="Q186" s="47" t="s">
        <v>776</v>
      </c>
      <c r="R186" s="45" t="s">
        <v>784</v>
      </c>
    </row>
    <row r="187" spans="1:18" ht="32.1" hidden="1" customHeight="1">
      <c r="A187" s="46">
        <v>13</v>
      </c>
      <c r="B187" s="45" t="s">
        <v>153</v>
      </c>
      <c r="C187" s="45" t="s">
        <v>28</v>
      </c>
      <c r="D187" s="45" t="s">
        <v>154</v>
      </c>
      <c r="E187" s="45" t="s">
        <v>1122</v>
      </c>
      <c r="F187" s="46" t="s">
        <v>809</v>
      </c>
      <c r="G187" s="46">
        <v>17</v>
      </c>
      <c r="H187" s="46">
        <v>1</v>
      </c>
      <c r="I187" s="46" t="s">
        <v>780</v>
      </c>
      <c r="J187" s="45" t="s">
        <v>1001</v>
      </c>
      <c r="K187" s="46" t="s">
        <v>826</v>
      </c>
      <c r="L187" s="45" t="s">
        <v>1119</v>
      </c>
      <c r="M187" s="46">
        <v>90</v>
      </c>
      <c r="N187" s="46" t="s">
        <v>1088</v>
      </c>
      <c r="O187" s="46">
        <v>1</v>
      </c>
      <c r="P187" s="45" t="s">
        <v>1120</v>
      </c>
      <c r="Q187" s="47" t="s">
        <v>776</v>
      </c>
      <c r="R187" s="45" t="s">
        <v>784</v>
      </c>
    </row>
    <row r="188" spans="1:18" ht="32.1" hidden="1" customHeight="1">
      <c r="A188" s="46">
        <v>13</v>
      </c>
      <c r="B188" s="45" t="s">
        <v>153</v>
      </c>
      <c r="C188" s="45" t="s">
        <v>28</v>
      </c>
      <c r="D188" s="45" t="s">
        <v>154</v>
      </c>
      <c r="E188" s="45" t="s">
        <v>1123</v>
      </c>
      <c r="F188" s="46" t="s">
        <v>848</v>
      </c>
      <c r="G188" s="46">
        <v>84</v>
      </c>
      <c r="H188" s="46">
        <v>1</v>
      </c>
      <c r="I188" s="46" t="s">
        <v>780</v>
      </c>
      <c r="J188" s="45" t="s">
        <v>805</v>
      </c>
      <c r="K188" s="46" t="s">
        <v>817</v>
      </c>
      <c r="L188" s="45" t="s">
        <v>1119</v>
      </c>
      <c r="M188" s="46">
        <v>91</v>
      </c>
      <c r="N188" s="46" t="s">
        <v>1089</v>
      </c>
      <c r="O188" s="46">
        <v>1</v>
      </c>
      <c r="P188" s="45" t="s">
        <v>1120</v>
      </c>
      <c r="Q188" s="47" t="s">
        <v>776</v>
      </c>
      <c r="R188" s="45" t="s">
        <v>784</v>
      </c>
    </row>
    <row r="189" spans="1:18" ht="32.1" hidden="1" customHeight="1">
      <c r="A189" s="46">
        <v>13</v>
      </c>
      <c r="B189" s="45" t="s">
        <v>153</v>
      </c>
      <c r="C189" s="45" t="s">
        <v>28</v>
      </c>
      <c r="D189" s="45" t="s">
        <v>154</v>
      </c>
      <c r="E189" s="45" t="s">
        <v>1124</v>
      </c>
      <c r="F189" s="46" t="s">
        <v>836</v>
      </c>
      <c r="G189" s="46">
        <v>212</v>
      </c>
      <c r="H189" s="46">
        <v>1</v>
      </c>
      <c r="I189" s="46" t="s">
        <v>780</v>
      </c>
      <c r="J189" s="45" t="s">
        <v>1094</v>
      </c>
      <c r="K189" s="46" t="s">
        <v>791</v>
      </c>
      <c r="L189" s="45" t="s">
        <v>1119</v>
      </c>
      <c r="M189" s="46">
        <v>92</v>
      </c>
      <c r="N189" s="46" t="s">
        <v>1095</v>
      </c>
      <c r="O189" s="46">
        <v>1</v>
      </c>
      <c r="P189" s="45" t="s">
        <v>1120</v>
      </c>
      <c r="Q189" s="47" t="s">
        <v>776</v>
      </c>
      <c r="R189" s="45" t="s">
        <v>784</v>
      </c>
    </row>
    <row r="190" spans="1:18" ht="32.1" hidden="1" customHeight="1">
      <c r="A190" s="46">
        <v>13</v>
      </c>
      <c r="B190" s="45" t="s">
        <v>153</v>
      </c>
      <c r="C190" s="45" t="s">
        <v>28</v>
      </c>
      <c r="D190" s="45" t="s">
        <v>154</v>
      </c>
      <c r="E190" s="45" t="s">
        <v>1096</v>
      </c>
      <c r="F190" s="46" t="s">
        <v>887</v>
      </c>
      <c r="G190" s="46">
        <v>8</v>
      </c>
      <c r="H190" s="46">
        <v>1</v>
      </c>
      <c r="I190" s="46" t="s">
        <v>780</v>
      </c>
      <c r="J190" s="45" t="s">
        <v>1001</v>
      </c>
      <c r="K190" s="46" t="s">
        <v>817</v>
      </c>
      <c r="L190" s="45" t="s">
        <v>1119</v>
      </c>
      <c r="M190" s="46">
        <v>93</v>
      </c>
      <c r="N190" s="46" t="s">
        <v>1002</v>
      </c>
      <c r="O190" s="46">
        <v>1</v>
      </c>
      <c r="P190" s="45" t="s">
        <v>1120</v>
      </c>
      <c r="Q190" s="47" t="s">
        <v>776</v>
      </c>
      <c r="R190" s="45" t="s">
        <v>784</v>
      </c>
    </row>
    <row r="191" spans="1:18" ht="32.1" hidden="1" customHeight="1">
      <c r="A191" s="46">
        <v>13</v>
      </c>
      <c r="B191" s="45" t="s">
        <v>153</v>
      </c>
      <c r="C191" s="45" t="s">
        <v>28</v>
      </c>
      <c r="D191" s="45" t="s">
        <v>154</v>
      </c>
      <c r="E191" s="45" t="s">
        <v>1125</v>
      </c>
      <c r="F191" s="46" t="s">
        <v>802</v>
      </c>
      <c r="G191" s="46">
        <v>54</v>
      </c>
      <c r="H191" s="46">
        <v>1</v>
      </c>
      <c r="I191" s="46" t="s">
        <v>780</v>
      </c>
      <c r="J191" s="45" t="s">
        <v>1001</v>
      </c>
      <c r="K191" s="46" t="s">
        <v>817</v>
      </c>
      <c r="L191" s="45" t="s">
        <v>1119</v>
      </c>
      <c r="M191" s="46">
        <v>100</v>
      </c>
      <c r="N191" s="46" t="s">
        <v>1002</v>
      </c>
      <c r="O191" s="46">
        <v>1</v>
      </c>
      <c r="P191" s="45" t="s">
        <v>1120</v>
      </c>
      <c r="Q191" s="47" t="s">
        <v>776</v>
      </c>
      <c r="R191" s="45" t="s">
        <v>784</v>
      </c>
    </row>
    <row r="192" spans="1:18" ht="32.1" hidden="1" customHeight="1">
      <c r="A192" s="46">
        <v>14</v>
      </c>
      <c r="B192" s="45" t="s">
        <v>161</v>
      </c>
      <c r="C192" s="45" t="s">
        <v>31</v>
      </c>
      <c r="D192" s="45" t="s">
        <v>162</v>
      </c>
      <c r="E192" s="45" t="s">
        <v>1126</v>
      </c>
      <c r="F192" s="46" t="s">
        <v>770</v>
      </c>
      <c r="G192" s="46">
        <v>36</v>
      </c>
      <c r="H192" s="46">
        <v>1</v>
      </c>
      <c r="I192" s="46" t="s">
        <v>780</v>
      </c>
      <c r="J192" s="45" t="s">
        <v>916</v>
      </c>
      <c r="K192" s="46" t="s">
        <v>865</v>
      </c>
      <c r="L192" s="45" t="s">
        <v>1127</v>
      </c>
      <c r="M192" s="46">
        <v>518</v>
      </c>
      <c r="N192" s="46" t="s">
        <v>1052</v>
      </c>
      <c r="O192" s="46">
        <v>1</v>
      </c>
      <c r="P192" s="45" t="s">
        <v>1128</v>
      </c>
      <c r="Q192" s="47" t="s">
        <v>776</v>
      </c>
      <c r="R192" s="45" t="s">
        <v>784</v>
      </c>
    </row>
    <row r="193" spans="1:18" ht="32.1" hidden="1" customHeight="1">
      <c r="A193" s="46">
        <v>14</v>
      </c>
      <c r="B193" s="45" t="s">
        <v>161</v>
      </c>
      <c r="C193" s="45" t="s">
        <v>31</v>
      </c>
      <c r="D193" s="45" t="s">
        <v>162</v>
      </c>
      <c r="E193" s="45" t="s">
        <v>1126</v>
      </c>
      <c r="F193" s="46" t="s">
        <v>770</v>
      </c>
      <c r="G193" s="46">
        <v>36</v>
      </c>
      <c r="H193" s="46">
        <v>2</v>
      </c>
      <c r="I193" s="46" t="s">
        <v>780</v>
      </c>
      <c r="J193" s="45" t="s">
        <v>1129</v>
      </c>
      <c r="K193" s="46" t="s">
        <v>791</v>
      </c>
      <c r="L193" s="45" t="s">
        <v>1127</v>
      </c>
      <c r="M193" s="46">
        <v>518</v>
      </c>
      <c r="N193" s="46" t="s">
        <v>1130</v>
      </c>
      <c r="O193" s="46">
        <v>1</v>
      </c>
      <c r="P193" s="45" t="s">
        <v>1128</v>
      </c>
      <c r="Q193" s="47" t="s">
        <v>776</v>
      </c>
      <c r="R193" s="45" t="s">
        <v>784</v>
      </c>
    </row>
    <row r="194" spans="1:18" ht="32.1" hidden="1" customHeight="1">
      <c r="A194" s="46">
        <v>14</v>
      </c>
      <c r="B194" s="45" t="s">
        <v>161</v>
      </c>
      <c r="C194" s="45" t="s">
        <v>31</v>
      </c>
      <c r="D194" s="45" t="s">
        <v>162</v>
      </c>
      <c r="E194" s="45" t="s">
        <v>1126</v>
      </c>
      <c r="F194" s="46" t="s">
        <v>770</v>
      </c>
      <c r="G194" s="46">
        <v>36</v>
      </c>
      <c r="H194" s="46">
        <v>3</v>
      </c>
      <c r="I194" s="46" t="s">
        <v>780</v>
      </c>
      <c r="J194" s="45" t="s">
        <v>1129</v>
      </c>
      <c r="K194" s="46" t="s">
        <v>782</v>
      </c>
      <c r="L194" s="45" t="s">
        <v>1127</v>
      </c>
      <c r="M194" s="46">
        <v>518</v>
      </c>
      <c r="N194" s="46" t="s">
        <v>1131</v>
      </c>
      <c r="O194" s="46">
        <v>1</v>
      </c>
      <c r="P194" s="45" t="s">
        <v>1128</v>
      </c>
      <c r="Q194" s="47" t="s">
        <v>776</v>
      </c>
      <c r="R194" s="45" t="s">
        <v>784</v>
      </c>
    </row>
    <row r="195" spans="1:18" ht="32.1" hidden="1" customHeight="1">
      <c r="A195" s="46">
        <v>14</v>
      </c>
      <c r="B195" s="45" t="s">
        <v>161</v>
      </c>
      <c r="C195" s="45" t="s">
        <v>31</v>
      </c>
      <c r="D195" s="45" t="s">
        <v>162</v>
      </c>
      <c r="E195" s="45" t="s">
        <v>1126</v>
      </c>
      <c r="F195" s="46" t="s">
        <v>770</v>
      </c>
      <c r="G195" s="46">
        <v>36</v>
      </c>
      <c r="H195" s="46">
        <v>4</v>
      </c>
      <c r="I195" s="46" t="s">
        <v>780</v>
      </c>
      <c r="J195" s="45" t="s">
        <v>1129</v>
      </c>
      <c r="K195" s="46" t="s">
        <v>813</v>
      </c>
      <c r="L195" s="45" t="s">
        <v>1127</v>
      </c>
      <c r="M195" s="46">
        <v>518</v>
      </c>
      <c r="N195" s="46" t="s">
        <v>1132</v>
      </c>
      <c r="O195" s="46">
        <v>1</v>
      </c>
      <c r="P195" s="45" t="s">
        <v>1128</v>
      </c>
      <c r="Q195" s="47" t="s">
        <v>776</v>
      </c>
      <c r="R195" s="45" t="s">
        <v>784</v>
      </c>
    </row>
    <row r="196" spans="1:18" ht="32.1" hidden="1" customHeight="1">
      <c r="A196" s="46">
        <v>14</v>
      </c>
      <c r="B196" s="45" t="s">
        <v>161</v>
      </c>
      <c r="C196" s="45" t="s">
        <v>31</v>
      </c>
      <c r="D196" s="45" t="s">
        <v>162</v>
      </c>
      <c r="E196" s="45" t="s">
        <v>1126</v>
      </c>
      <c r="F196" s="46" t="s">
        <v>770</v>
      </c>
      <c r="G196" s="46">
        <v>36</v>
      </c>
      <c r="H196" s="46">
        <v>5</v>
      </c>
      <c r="I196" s="46" t="s">
        <v>780</v>
      </c>
      <c r="J196" s="45" t="s">
        <v>1129</v>
      </c>
      <c r="K196" s="46" t="s">
        <v>815</v>
      </c>
      <c r="L196" s="45" t="s">
        <v>1127</v>
      </c>
      <c r="M196" s="46">
        <v>518</v>
      </c>
      <c r="N196" s="46" t="s">
        <v>1133</v>
      </c>
      <c r="O196" s="46">
        <v>1</v>
      </c>
      <c r="P196" s="45" t="s">
        <v>1128</v>
      </c>
      <c r="Q196" s="47" t="s">
        <v>776</v>
      </c>
      <c r="R196" s="45" t="s">
        <v>784</v>
      </c>
    </row>
    <row r="197" spans="1:18" ht="32.1" hidden="1" customHeight="1">
      <c r="A197" s="46">
        <v>14</v>
      </c>
      <c r="B197" s="45" t="s">
        <v>161</v>
      </c>
      <c r="C197" s="45" t="s">
        <v>31</v>
      </c>
      <c r="D197" s="45" t="s">
        <v>162</v>
      </c>
      <c r="E197" s="45" t="s">
        <v>1126</v>
      </c>
      <c r="F197" s="46" t="s">
        <v>770</v>
      </c>
      <c r="G197" s="46">
        <v>36</v>
      </c>
      <c r="H197" s="46">
        <v>6</v>
      </c>
      <c r="I197" s="46" t="s">
        <v>780</v>
      </c>
      <c r="J197" s="45" t="s">
        <v>1129</v>
      </c>
      <c r="K197" s="46" t="s">
        <v>817</v>
      </c>
      <c r="L197" s="45" t="s">
        <v>1127</v>
      </c>
      <c r="M197" s="46">
        <v>518</v>
      </c>
      <c r="N197" s="46" t="s">
        <v>1134</v>
      </c>
      <c r="O197" s="46">
        <v>1</v>
      </c>
      <c r="P197" s="45" t="s">
        <v>1128</v>
      </c>
      <c r="Q197" s="47" t="s">
        <v>776</v>
      </c>
      <c r="R197" s="45" t="s">
        <v>784</v>
      </c>
    </row>
    <row r="198" spans="1:18" ht="32.1" hidden="1" customHeight="1">
      <c r="A198" s="46">
        <v>14</v>
      </c>
      <c r="B198" s="45" t="s">
        <v>161</v>
      </c>
      <c r="C198" s="45" t="s">
        <v>31</v>
      </c>
      <c r="D198" s="45" t="s">
        <v>162</v>
      </c>
      <c r="E198" s="45" t="s">
        <v>1126</v>
      </c>
      <c r="F198" s="46" t="s">
        <v>770</v>
      </c>
      <c r="G198" s="46">
        <v>36</v>
      </c>
      <c r="H198" s="46">
        <v>7</v>
      </c>
      <c r="I198" s="46" t="s">
        <v>780</v>
      </c>
      <c r="J198" s="45" t="s">
        <v>1129</v>
      </c>
      <c r="K198" s="46" t="s">
        <v>819</v>
      </c>
      <c r="L198" s="45" t="s">
        <v>1127</v>
      </c>
      <c r="M198" s="46">
        <v>518</v>
      </c>
      <c r="N198" s="46" t="s">
        <v>1135</v>
      </c>
      <c r="O198" s="46">
        <v>1</v>
      </c>
      <c r="P198" s="45" t="s">
        <v>1128</v>
      </c>
      <c r="Q198" s="47" t="s">
        <v>776</v>
      </c>
      <c r="R198" s="45" t="s">
        <v>784</v>
      </c>
    </row>
    <row r="199" spans="1:18" ht="32.1" hidden="1" customHeight="1">
      <c r="A199" s="46">
        <v>14</v>
      </c>
      <c r="B199" s="45" t="s">
        <v>161</v>
      </c>
      <c r="C199" s="45" t="s">
        <v>31</v>
      </c>
      <c r="D199" s="45" t="s">
        <v>162</v>
      </c>
      <c r="E199" s="45" t="s">
        <v>1126</v>
      </c>
      <c r="F199" s="46" t="s">
        <v>770</v>
      </c>
      <c r="G199" s="46">
        <v>36</v>
      </c>
      <c r="H199" s="46">
        <v>8</v>
      </c>
      <c r="I199" s="46" t="s">
        <v>780</v>
      </c>
      <c r="J199" s="45" t="s">
        <v>1129</v>
      </c>
      <c r="K199" s="46" t="s">
        <v>821</v>
      </c>
      <c r="L199" s="45" t="s">
        <v>1127</v>
      </c>
      <c r="M199" s="46">
        <v>518</v>
      </c>
      <c r="N199" s="46" t="s">
        <v>1136</v>
      </c>
      <c r="O199" s="46">
        <v>1</v>
      </c>
      <c r="P199" s="45" t="s">
        <v>1128</v>
      </c>
      <c r="Q199" s="47" t="s">
        <v>776</v>
      </c>
      <c r="R199" s="45" t="s">
        <v>784</v>
      </c>
    </row>
    <row r="200" spans="1:18" ht="32.1" hidden="1" customHeight="1">
      <c r="A200" s="46">
        <v>14</v>
      </c>
      <c r="B200" s="45" t="s">
        <v>161</v>
      </c>
      <c r="C200" s="45" t="s">
        <v>31</v>
      </c>
      <c r="D200" s="45" t="s">
        <v>162</v>
      </c>
      <c r="E200" s="45" t="s">
        <v>1126</v>
      </c>
      <c r="F200" s="46" t="s">
        <v>770</v>
      </c>
      <c r="G200" s="46">
        <v>36</v>
      </c>
      <c r="H200" s="46">
        <v>9</v>
      </c>
      <c r="I200" s="46" t="s">
        <v>780</v>
      </c>
      <c r="J200" s="45" t="s">
        <v>1129</v>
      </c>
      <c r="K200" s="46" t="s">
        <v>795</v>
      </c>
      <c r="L200" s="45" t="s">
        <v>1127</v>
      </c>
      <c r="M200" s="46">
        <v>518</v>
      </c>
      <c r="N200" s="46" t="s">
        <v>1137</v>
      </c>
      <c r="O200" s="46">
        <v>1</v>
      </c>
      <c r="P200" s="45" t="s">
        <v>1128</v>
      </c>
      <c r="Q200" s="47" t="s">
        <v>776</v>
      </c>
      <c r="R200" s="45" t="s">
        <v>784</v>
      </c>
    </row>
    <row r="201" spans="1:18" ht="32.1" hidden="1" customHeight="1">
      <c r="A201" s="46">
        <v>14</v>
      </c>
      <c r="B201" s="45" t="s">
        <v>161</v>
      </c>
      <c r="C201" s="45" t="s">
        <v>31</v>
      </c>
      <c r="D201" s="45" t="s">
        <v>162</v>
      </c>
      <c r="E201" s="45" t="s">
        <v>1126</v>
      </c>
      <c r="F201" s="46" t="s">
        <v>770</v>
      </c>
      <c r="G201" s="46">
        <v>36</v>
      </c>
      <c r="H201" s="46">
        <v>10</v>
      </c>
      <c r="I201" s="46" t="s">
        <v>780</v>
      </c>
      <c r="J201" s="45" t="s">
        <v>1129</v>
      </c>
      <c r="K201" s="46" t="s">
        <v>824</v>
      </c>
      <c r="L201" s="45" t="s">
        <v>1127</v>
      </c>
      <c r="M201" s="46">
        <v>518</v>
      </c>
      <c r="N201" s="46" t="s">
        <v>1138</v>
      </c>
      <c r="O201" s="46">
        <v>1</v>
      </c>
      <c r="P201" s="45" t="s">
        <v>1128</v>
      </c>
      <c r="Q201" s="47" t="s">
        <v>776</v>
      </c>
      <c r="R201" s="45" t="s">
        <v>784</v>
      </c>
    </row>
    <row r="202" spans="1:18" ht="32.1" hidden="1" customHeight="1">
      <c r="A202" s="46">
        <v>14</v>
      </c>
      <c r="B202" s="45" t="s">
        <v>161</v>
      </c>
      <c r="C202" s="45" t="s">
        <v>31</v>
      </c>
      <c r="D202" s="45" t="s">
        <v>162</v>
      </c>
      <c r="E202" s="45" t="s">
        <v>1053</v>
      </c>
      <c r="F202" s="46" t="s">
        <v>842</v>
      </c>
      <c r="G202" s="46">
        <v>148</v>
      </c>
      <c r="H202" s="46">
        <v>1</v>
      </c>
      <c r="I202" s="46" t="s">
        <v>780</v>
      </c>
      <c r="J202" s="45" t="s">
        <v>1060</v>
      </c>
      <c r="K202" s="46" t="s">
        <v>813</v>
      </c>
      <c r="L202" s="45" t="s">
        <v>1127</v>
      </c>
      <c r="M202" s="46">
        <v>538</v>
      </c>
      <c r="N202" s="46" t="s">
        <v>1065</v>
      </c>
      <c r="O202" s="46">
        <v>2</v>
      </c>
      <c r="P202" s="45" t="s">
        <v>1128</v>
      </c>
      <c r="Q202" s="47" t="s">
        <v>776</v>
      </c>
      <c r="R202" s="45" t="s">
        <v>784</v>
      </c>
    </row>
    <row r="203" spans="1:18" ht="32.1" hidden="1" customHeight="1">
      <c r="A203" s="46">
        <v>14</v>
      </c>
      <c r="B203" s="45" t="s">
        <v>161</v>
      </c>
      <c r="C203" s="45" t="s">
        <v>31</v>
      </c>
      <c r="D203" s="45" t="s">
        <v>162</v>
      </c>
      <c r="E203" s="45" t="s">
        <v>1139</v>
      </c>
      <c r="F203" s="46" t="s">
        <v>809</v>
      </c>
      <c r="G203" s="46">
        <v>56</v>
      </c>
      <c r="H203" s="46">
        <v>1</v>
      </c>
      <c r="I203" s="46" t="s">
        <v>780</v>
      </c>
      <c r="J203" s="45" t="s">
        <v>1001</v>
      </c>
      <c r="K203" s="46" t="s">
        <v>817</v>
      </c>
      <c r="L203" s="45" t="s">
        <v>1127</v>
      </c>
      <c r="M203" s="46">
        <v>539</v>
      </c>
      <c r="N203" s="46" t="s">
        <v>1002</v>
      </c>
      <c r="O203" s="46">
        <v>1</v>
      </c>
      <c r="P203" s="45" t="s">
        <v>1128</v>
      </c>
      <c r="Q203" s="47" t="s">
        <v>776</v>
      </c>
      <c r="R203" s="45" t="s">
        <v>784</v>
      </c>
    </row>
    <row r="204" spans="1:18" ht="32.1" hidden="1" customHeight="1">
      <c r="A204" s="46">
        <v>14</v>
      </c>
      <c r="B204" s="45" t="s">
        <v>161</v>
      </c>
      <c r="C204" s="45" t="s">
        <v>31</v>
      </c>
      <c r="D204" s="45" t="s">
        <v>162</v>
      </c>
      <c r="E204" s="45" t="s">
        <v>1140</v>
      </c>
      <c r="F204" s="46" t="s">
        <v>848</v>
      </c>
      <c r="G204" s="46">
        <v>33</v>
      </c>
      <c r="H204" s="46">
        <v>1</v>
      </c>
      <c r="I204" s="46" t="s">
        <v>780</v>
      </c>
      <c r="J204" s="45" t="s">
        <v>1001</v>
      </c>
      <c r="K204" s="46" t="s">
        <v>865</v>
      </c>
      <c r="L204" s="45" t="s">
        <v>1127</v>
      </c>
      <c r="M204" s="46">
        <v>540</v>
      </c>
      <c r="N204" s="46" t="s">
        <v>1107</v>
      </c>
      <c r="O204" s="46">
        <v>1</v>
      </c>
      <c r="P204" s="45" t="s">
        <v>1128</v>
      </c>
      <c r="Q204" s="47" t="s">
        <v>776</v>
      </c>
      <c r="R204" s="45" t="s">
        <v>784</v>
      </c>
    </row>
    <row r="205" spans="1:18" ht="32.1" hidden="1" customHeight="1">
      <c r="A205" s="46">
        <v>14</v>
      </c>
      <c r="B205" s="45" t="s">
        <v>161</v>
      </c>
      <c r="C205" s="45" t="s">
        <v>31</v>
      </c>
      <c r="D205" s="45" t="s">
        <v>162</v>
      </c>
      <c r="E205" s="45" t="s">
        <v>1140</v>
      </c>
      <c r="F205" s="46" t="s">
        <v>848</v>
      </c>
      <c r="G205" s="46">
        <v>33</v>
      </c>
      <c r="H205" s="46">
        <v>2</v>
      </c>
      <c r="I205" s="46" t="s">
        <v>780</v>
      </c>
      <c r="J205" s="45" t="s">
        <v>1141</v>
      </c>
      <c r="K205" s="46" t="s">
        <v>791</v>
      </c>
      <c r="L205" s="45" t="s">
        <v>1127</v>
      </c>
      <c r="M205" s="46">
        <v>540</v>
      </c>
      <c r="N205" s="46" t="s">
        <v>1142</v>
      </c>
      <c r="O205" s="46">
        <v>1</v>
      </c>
      <c r="P205" s="45" t="s">
        <v>1128</v>
      </c>
      <c r="Q205" s="47" t="s">
        <v>776</v>
      </c>
      <c r="R205" s="45" t="s">
        <v>784</v>
      </c>
    </row>
    <row r="206" spans="1:18" ht="32.1" hidden="1" customHeight="1">
      <c r="A206" s="46">
        <v>14</v>
      </c>
      <c r="B206" s="45" t="s">
        <v>161</v>
      </c>
      <c r="C206" s="45" t="s">
        <v>31</v>
      </c>
      <c r="D206" s="45" t="s">
        <v>162</v>
      </c>
      <c r="E206" s="45" t="s">
        <v>1140</v>
      </c>
      <c r="F206" s="46" t="s">
        <v>848</v>
      </c>
      <c r="G206" s="46">
        <v>33</v>
      </c>
      <c r="H206" s="46">
        <v>3</v>
      </c>
      <c r="I206" s="46" t="s">
        <v>780</v>
      </c>
      <c r="J206" s="45" t="s">
        <v>1141</v>
      </c>
      <c r="K206" s="46" t="s">
        <v>782</v>
      </c>
      <c r="L206" s="45" t="s">
        <v>1127</v>
      </c>
      <c r="M206" s="46">
        <v>540</v>
      </c>
      <c r="N206" s="46" t="s">
        <v>1143</v>
      </c>
      <c r="O206" s="46">
        <v>1</v>
      </c>
      <c r="P206" s="45" t="s">
        <v>1128</v>
      </c>
      <c r="Q206" s="47" t="s">
        <v>776</v>
      </c>
      <c r="R206" s="45" t="s">
        <v>784</v>
      </c>
    </row>
    <row r="207" spans="1:18" ht="32.1" hidden="1" customHeight="1">
      <c r="A207" s="46">
        <v>14</v>
      </c>
      <c r="B207" s="45" t="s">
        <v>161</v>
      </c>
      <c r="C207" s="45" t="s">
        <v>31</v>
      </c>
      <c r="D207" s="45" t="s">
        <v>162</v>
      </c>
      <c r="E207" s="45" t="s">
        <v>1140</v>
      </c>
      <c r="F207" s="46" t="s">
        <v>848</v>
      </c>
      <c r="G207" s="46">
        <v>33</v>
      </c>
      <c r="H207" s="46">
        <v>4</v>
      </c>
      <c r="I207" s="46" t="s">
        <v>780</v>
      </c>
      <c r="J207" s="45" t="s">
        <v>1141</v>
      </c>
      <c r="K207" s="46" t="s">
        <v>813</v>
      </c>
      <c r="L207" s="45" t="s">
        <v>1127</v>
      </c>
      <c r="M207" s="46">
        <v>540</v>
      </c>
      <c r="N207" s="46" t="s">
        <v>1144</v>
      </c>
      <c r="O207" s="46">
        <v>1</v>
      </c>
      <c r="P207" s="45" t="s">
        <v>1128</v>
      </c>
      <c r="Q207" s="47" t="s">
        <v>776</v>
      </c>
      <c r="R207" s="45" t="s">
        <v>784</v>
      </c>
    </row>
    <row r="208" spans="1:18" ht="32.1" hidden="1" customHeight="1">
      <c r="A208" s="46">
        <v>14</v>
      </c>
      <c r="B208" s="45" t="s">
        <v>161</v>
      </c>
      <c r="C208" s="45" t="s">
        <v>31</v>
      </c>
      <c r="D208" s="45" t="s">
        <v>162</v>
      </c>
      <c r="E208" s="45" t="s">
        <v>1140</v>
      </c>
      <c r="F208" s="46" t="s">
        <v>848</v>
      </c>
      <c r="G208" s="46">
        <v>33</v>
      </c>
      <c r="H208" s="46">
        <v>5</v>
      </c>
      <c r="I208" s="46" t="s">
        <v>780</v>
      </c>
      <c r="J208" s="45" t="s">
        <v>1141</v>
      </c>
      <c r="K208" s="46" t="s">
        <v>815</v>
      </c>
      <c r="L208" s="45" t="s">
        <v>1127</v>
      </c>
      <c r="M208" s="46">
        <v>540</v>
      </c>
      <c r="N208" s="46" t="s">
        <v>1145</v>
      </c>
      <c r="O208" s="46">
        <v>1</v>
      </c>
      <c r="P208" s="45" t="s">
        <v>1128</v>
      </c>
      <c r="Q208" s="47" t="s">
        <v>776</v>
      </c>
      <c r="R208" s="45" t="s">
        <v>784</v>
      </c>
    </row>
    <row r="209" spans="1:18" ht="32.1" hidden="1" customHeight="1">
      <c r="A209" s="46">
        <v>14</v>
      </c>
      <c r="B209" s="45" t="s">
        <v>161</v>
      </c>
      <c r="C209" s="45" t="s">
        <v>31</v>
      </c>
      <c r="D209" s="45" t="s">
        <v>162</v>
      </c>
      <c r="E209" s="45" t="s">
        <v>1140</v>
      </c>
      <c r="F209" s="46" t="s">
        <v>848</v>
      </c>
      <c r="G209" s="46">
        <v>33</v>
      </c>
      <c r="H209" s="46">
        <v>6</v>
      </c>
      <c r="I209" s="46" t="s">
        <v>780</v>
      </c>
      <c r="J209" s="45" t="s">
        <v>1141</v>
      </c>
      <c r="K209" s="46" t="s">
        <v>817</v>
      </c>
      <c r="L209" s="45" t="s">
        <v>1127</v>
      </c>
      <c r="M209" s="46">
        <v>540</v>
      </c>
      <c r="N209" s="46" t="s">
        <v>1146</v>
      </c>
      <c r="O209" s="46">
        <v>1</v>
      </c>
      <c r="P209" s="45" t="s">
        <v>1128</v>
      </c>
      <c r="Q209" s="47" t="s">
        <v>776</v>
      </c>
      <c r="R209" s="45" t="s">
        <v>784</v>
      </c>
    </row>
    <row r="210" spans="1:18" ht="32.1" hidden="1" customHeight="1">
      <c r="A210" s="46">
        <v>14</v>
      </c>
      <c r="B210" s="45" t="s">
        <v>161</v>
      </c>
      <c r="C210" s="45" t="s">
        <v>31</v>
      </c>
      <c r="D210" s="45" t="s">
        <v>162</v>
      </c>
      <c r="E210" s="45" t="s">
        <v>1140</v>
      </c>
      <c r="F210" s="46" t="s">
        <v>848</v>
      </c>
      <c r="G210" s="46">
        <v>33</v>
      </c>
      <c r="H210" s="46">
        <v>7</v>
      </c>
      <c r="I210" s="46" t="s">
        <v>780</v>
      </c>
      <c r="J210" s="45" t="s">
        <v>1141</v>
      </c>
      <c r="K210" s="46" t="s">
        <v>819</v>
      </c>
      <c r="L210" s="45" t="s">
        <v>1127</v>
      </c>
      <c r="M210" s="46">
        <v>540</v>
      </c>
      <c r="N210" s="46" t="s">
        <v>1147</v>
      </c>
      <c r="O210" s="46">
        <v>1</v>
      </c>
      <c r="P210" s="45" t="s">
        <v>1128</v>
      </c>
      <c r="Q210" s="47" t="s">
        <v>776</v>
      </c>
      <c r="R210" s="45" t="s">
        <v>784</v>
      </c>
    </row>
    <row r="211" spans="1:18" ht="32.1" hidden="1" customHeight="1">
      <c r="A211" s="46">
        <v>14</v>
      </c>
      <c r="B211" s="45" t="s">
        <v>161</v>
      </c>
      <c r="C211" s="45" t="s">
        <v>31</v>
      </c>
      <c r="D211" s="45" t="s">
        <v>162</v>
      </c>
      <c r="E211" s="45" t="s">
        <v>1140</v>
      </c>
      <c r="F211" s="46" t="s">
        <v>848</v>
      </c>
      <c r="G211" s="46">
        <v>33</v>
      </c>
      <c r="H211" s="46">
        <v>8</v>
      </c>
      <c r="I211" s="46" t="s">
        <v>780</v>
      </c>
      <c r="J211" s="45" t="s">
        <v>1141</v>
      </c>
      <c r="K211" s="46" t="s">
        <v>821</v>
      </c>
      <c r="L211" s="45" t="s">
        <v>1127</v>
      </c>
      <c r="M211" s="46">
        <v>540</v>
      </c>
      <c r="N211" s="46" t="s">
        <v>1148</v>
      </c>
      <c r="O211" s="46">
        <v>1</v>
      </c>
      <c r="P211" s="45" t="s">
        <v>1128</v>
      </c>
      <c r="Q211" s="47" t="s">
        <v>776</v>
      </c>
      <c r="R211" s="45" t="s">
        <v>784</v>
      </c>
    </row>
    <row r="212" spans="1:18" ht="32.1" hidden="1" customHeight="1">
      <c r="A212" s="46">
        <v>14</v>
      </c>
      <c r="B212" s="45" t="s">
        <v>161</v>
      </c>
      <c r="C212" s="45" t="s">
        <v>31</v>
      </c>
      <c r="D212" s="45" t="s">
        <v>162</v>
      </c>
      <c r="E212" s="45" t="s">
        <v>1140</v>
      </c>
      <c r="F212" s="46" t="s">
        <v>848</v>
      </c>
      <c r="G212" s="46">
        <v>33</v>
      </c>
      <c r="H212" s="46">
        <v>9</v>
      </c>
      <c r="I212" s="46" t="s">
        <v>780</v>
      </c>
      <c r="J212" s="45" t="s">
        <v>1141</v>
      </c>
      <c r="K212" s="46" t="s">
        <v>795</v>
      </c>
      <c r="L212" s="45" t="s">
        <v>1127</v>
      </c>
      <c r="M212" s="46">
        <v>540</v>
      </c>
      <c r="N212" s="46" t="s">
        <v>1149</v>
      </c>
      <c r="O212" s="46">
        <v>1</v>
      </c>
      <c r="P212" s="45" t="s">
        <v>1128</v>
      </c>
      <c r="Q212" s="47" t="s">
        <v>776</v>
      </c>
      <c r="R212" s="45" t="s">
        <v>784</v>
      </c>
    </row>
    <row r="213" spans="1:18" ht="32.1" hidden="1" customHeight="1">
      <c r="A213" s="46">
        <v>14</v>
      </c>
      <c r="B213" s="45" t="s">
        <v>161</v>
      </c>
      <c r="C213" s="45" t="s">
        <v>31</v>
      </c>
      <c r="D213" s="45" t="s">
        <v>162</v>
      </c>
      <c r="E213" s="45" t="s">
        <v>1140</v>
      </c>
      <c r="F213" s="46" t="s">
        <v>848</v>
      </c>
      <c r="G213" s="46">
        <v>33</v>
      </c>
      <c r="H213" s="46">
        <v>10</v>
      </c>
      <c r="I213" s="46" t="s">
        <v>780</v>
      </c>
      <c r="J213" s="45" t="s">
        <v>1141</v>
      </c>
      <c r="K213" s="46" t="s">
        <v>824</v>
      </c>
      <c r="L213" s="45" t="s">
        <v>1127</v>
      </c>
      <c r="M213" s="46">
        <v>540</v>
      </c>
      <c r="N213" s="46" t="s">
        <v>1150</v>
      </c>
      <c r="O213" s="46">
        <v>1</v>
      </c>
      <c r="P213" s="45" t="s">
        <v>1128</v>
      </c>
      <c r="Q213" s="47" t="s">
        <v>776</v>
      </c>
      <c r="R213" s="45" t="s">
        <v>784</v>
      </c>
    </row>
    <row r="214" spans="1:18" ht="32.1" hidden="1" customHeight="1">
      <c r="A214" s="46">
        <v>14</v>
      </c>
      <c r="B214" s="45" t="s">
        <v>161</v>
      </c>
      <c r="C214" s="45" t="s">
        <v>31</v>
      </c>
      <c r="D214" s="45" t="s">
        <v>162</v>
      </c>
      <c r="E214" s="45" t="s">
        <v>1013</v>
      </c>
      <c r="F214" s="46" t="s">
        <v>836</v>
      </c>
      <c r="G214" s="46">
        <v>64</v>
      </c>
      <c r="H214" s="46">
        <v>1</v>
      </c>
      <c r="I214" s="46" t="s">
        <v>780</v>
      </c>
      <c r="J214" s="45" t="s">
        <v>1001</v>
      </c>
      <c r="K214" s="46" t="s">
        <v>795</v>
      </c>
      <c r="L214" s="45" t="s">
        <v>1127</v>
      </c>
      <c r="M214" s="46">
        <v>559</v>
      </c>
      <c r="N214" s="46" t="s">
        <v>1087</v>
      </c>
      <c r="O214" s="46">
        <v>2</v>
      </c>
      <c r="P214" s="45" t="s">
        <v>1128</v>
      </c>
      <c r="Q214" s="47" t="s">
        <v>776</v>
      </c>
      <c r="R214" s="45" t="s">
        <v>784</v>
      </c>
    </row>
    <row r="215" spans="1:18" ht="32.1" hidden="1" customHeight="1">
      <c r="A215" s="46">
        <v>14</v>
      </c>
      <c r="B215" s="45" t="s">
        <v>161</v>
      </c>
      <c r="C215" s="45" t="s">
        <v>31</v>
      </c>
      <c r="D215" s="45" t="s">
        <v>162</v>
      </c>
      <c r="E215" s="45" t="s">
        <v>1151</v>
      </c>
      <c r="F215" s="46" t="s">
        <v>798</v>
      </c>
      <c r="G215" s="46">
        <v>28</v>
      </c>
      <c r="H215" s="46">
        <v>1</v>
      </c>
      <c r="I215" s="46" t="s">
        <v>780</v>
      </c>
      <c r="J215" s="45" t="s">
        <v>1001</v>
      </c>
      <c r="K215" s="46" t="s">
        <v>824</v>
      </c>
      <c r="L215" s="45" t="s">
        <v>1127</v>
      </c>
      <c r="M215" s="46">
        <v>560</v>
      </c>
      <c r="N215" s="46" t="s">
        <v>1003</v>
      </c>
      <c r="O215" s="46">
        <v>1</v>
      </c>
      <c r="P215" s="45" t="s">
        <v>1128</v>
      </c>
      <c r="Q215" s="47" t="s">
        <v>776</v>
      </c>
      <c r="R215" s="45" t="s">
        <v>784</v>
      </c>
    </row>
    <row r="216" spans="1:18" ht="32.1" hidden="1" customHeight="1">
      <c r="A216" s="46">
        <v>14</v>
      </c>
      <c r="B216" s="45" t="s">
        <v>161</v>
      </c>
      <c r="C216" s="45" t="s">
        <v>31</v>
      </c>
      <c r="D216" s="45" t="s">
        <v>162</v>
      </c>
      <c r="E216" s="45" t="s">
        <v>1096</v>
      </c>
      <c r="F216" s="46" t="s">
        <v>786</v>
      </c>
      <c r="G216" s="46">
        <v>8</v>
      </c>
      <c r="H216" s="46">
        <v>1</v>
      </c>
      <c r="I216" s="46" t="s">
        <v>780</v>
      </c>
      <c r="J216" s="45" t="s">
        <v>1001</v>
      </c>
      <c r="K216" s="46" t="s">
        <v>826</v>
      </c>
      <c r="L216" s="45" t="s">
        <v>1127</v>
      </c>
      <c r="M216" s="46">
        <v>561</v>
      </c>
      <c r="N216" s="46" t="s">
        <v>1088</v>
      </c>
      <c r="O216" s="46">
        <v>1</v>
      </c>
      <c r="P216" s="45" t="s">
        <v>1128</v>
      </c>
      <c r="Q216" s="47" t="s">
        <v>776</v>
      </c>
      <c r="R216" s="45" t="s">
        <v>784</v>
      </c>
    </row>
    <row r="217" spans="1:18" ht="32.1" hidden="1" customHeight="1">
      <c r="A217" s="46">
        <v>14</v>
      </c>
      <c r="B217" s="45" t="s">
        <v>161</v>
      </c>
      <c r="C217" s="45" t="s">
        <v>31</v>
      </c>
      <c r="D217" s="45" t="s">
        <v>162</v>
      </c>
      <c r="E217" s="45" t="s">
        <v>1096</v>
      </c>
      <c r="F217" s="46" t="s">
        <v>786</v>
      </c>
      <c r="G217" s="46">
        <v>8</v>
      </c>
      <c r="H217" s="46">
        <v>2</v>
      </c>
      <c r="I217" s="46" t="s">
        <v>780</v>
      </c>
      <c r="J217" s="45" t="s">
        <v>1152</v>
      </c>
      <c r="K217" s="46" t="s">
        <v>791</v>
      </c>
      <c r="L217" s="45" t="s">
        <v>1127</v>
      </c>
      <c r="M217" s="46">
        <v>561</v>
      </c>
      <c r="N217" s="46" t="s">
        <v>1109</v>
      </c>
      <c r="O217" s="46">
        <v>1</v>
      </c>
      <c r="P217" s="45" t="s">
        <v>1128</v>
      </c>
      <c r="Q217" s="47" t="s">
        <v>776</v>
      </c>
      <c r="R217" s="45" t="s">
        <v>784</v>
      </c>
    </row>
    <row r="218" spans="1:18" ht="32.1" hidden="1" customHeight="1">
      <c r="A218" s="46">
        <v>14</v>
      </c>
      <c r="B218" s="45" t="s">
        <v>161</v>
      </c>
      <c r="C218" s="45" t="s">
        <v>31</v>
      </c>
      <c r="D218" s="45" t="s">
        <v>162</v>
      </c>
      <c r="E218" s="45" t="s">
        <v>1096</v>
      </c>
      <c r="F218" s="46" t="s">
        <v>786</v>
      </c>
      <c r="G218" s="46">
        <v>8</v>
      </c>
      <c r="H218" s="46">
        <v>3</v>
      </c>
      <c r="I218" s="46" t="s">
        <v>780</v>
      </c>
      <c r="J218" s="45" t="s">
        <v>1152</v>
      </c>
      <c r="K218" s="46" t="s">
        <v>782</v>
      </c>
      <c r="L218" s="45" t="s">
        <v>1127</v>
      </c>
      <c r="M218" s="46">
        <v>561</v>
      </c>
      <c r="N218" s="46" t="s">
        <v>1110</v>
      </c>
      <c r="O218" s="46">
        <v>1</v>
      </c>
      <c r="P218" s="45" t="s">
        <v>1128</v>
      </c>
      <c r="Q218" s="47" t="s">
        <v>776</v>
      </c>
      <c r="R218" s="45" t="s">
        <v>784</v>
      </c>
    </row>
    <row r="219" spans="1:18" ht="32.1" hidden="1" customHeight="1">
      <c r="A219" s="46">
        <v>14</v>
      </c>
      <c r="B219" s="45" t="s">
        <v>161</v>
      </c>
      <c r="C219" s="45" t="s">
        <v>31</v>
      </c>
      <c r="D219" s="45" t="s">
        <v>162</v>
      </c>
      <c r="E219" s="45" t="s">
        <v>1096</v>
      </c>
      <c r="F219" s="46" t="s">
        <v>786</v>
      </c>
      <c r="G219" s="46">
        <v>8</v>
      </c>
      <c r="H219" s="46">
        <v>4</v>
      </c>
      <c r="I219" s="46" t="s">
        <v>780</v>
      </c>
      <c r="J219" s="45" t="s">
        <v>1152</v>
      </c>
      <c r="K219" s="46" t="s">
        <v>813</v>
      </c>
      <c r="L219" s="45" t="s">
        <v>1127</v>
      </c>
      <c r="M219" s="46">
        <v>561</v>
      </c>
      <c r="N219" s="46" t="s">
        <v>1111</v>
      </c>
      <c r="O219" s="46">
        <v>1</v>
      </c>
      <c r="P219" s="45" t="s">
        <v>1128</v>
      </c>
      <c r="Q219" s="47" t="s">
        <v>776</v>
      </c>
      <c r="R219" s="45" t="s">
        <v>784</v>
      </c>
    </row>
    <row r="220" spans="1:18" ht="32.1" hidden="1" customHeight="1">
      <c r="A220" s="46">
        <v>14</v>
      </c>
      <c r="B220" s="45" t="s">
        <v>161</v>
      </c>
      <c r="C220" s="45" t="s">
        <v>31</v>
      </c>
      <c r="D220" s="45" t="s">
        <v>162</v>
      </c>
      <c r="E220" s="45" t="s">
        <v>1096</v>
      </c>
      <c r="F220" s="46" t="s">
        <v>786</v>
      </c>
      <c r="G220" s="46">
        <v>8</v>
      </c>
      <c r="H220" s="46">
        <v>5</v>
      </c>
      <c r="I220" s="46" t="s">
        <v>780</v>
      </c>
      <c r="J220" s="45" t="s">
        <v>1152</v>
      </c>
      <c r="K220" s="46" t="s">
        <v>815</v>
      </c>
      <c r="L220" s="45" t="s">
        <v>1127</v>
      </c>
      <c r="M220" s="46">
        <v>561</v>
      </c>
      <c r="N220" s="46" t="s">
        <v>1112</v>
      </c>
      <c r="O220" s="46">
        <v>1</v>
      </c>
      <c r="P220" s="45" t="s">
        <v>1128</v>
      </c>
      <c r="Q220" s="47" t="s">
        <v>776</v>
      </c>
      <c r="R220" s="45" t="s">
        <v>784</v>
      </c>
    </row>
    <row r="221" spans="1:18" ht="32.1" hidden="1" customHeight="1">
      <c r="A221" s="46">
        <v>14</v>
      </c>
      <c r="B221" s="45" t="s">
        <v>161</v>
      </c>
      <c r="C221" s="45" t="s">
        <v>31</v>
      </c>
      <c r="D221" s="45" t="s">
        <v>162</v>
      </c>
      <c r="E221" s="45" t="s">
        <v>1096</v>
      </c>
      <c r="F221" s="46" t="s">
        <v>786</v>
      </c>
      <c r="G221" s="46">
        <v>8</v>
      </c>
      <c r="H221" s="46">
        <v>6</v>
      </c>
      <c r="I221" s="46" t="s">
        <v>780</v>
      </c>
      <c r="J221" s="45" t="s">
        <v>1152</v>
      </c>
      <c r="K221" s="46" t="s">
        <v>817</v>
      </c>
      <c r="L221" s="45" t="s">
        <v>1127</v>
      </c>
      <c r="M221" s="46">
        <v>561</v>
      </c>
      <c r="N221" s="46" t="s">
        <v>1113</v>
      </c>
      <c r="O221" s="46">
        <v>1</v>
      </c>
      <c r="P221" s="45" t="s">
        <v>1128</v>
      </c>
      <c r="Q221" s="47" t="s">
        <v>776</v>
      </c>
      <c r="R221" s="45" t="s">
        <v>784</v>
      </c>
    </row>
    <row r="222" spans="1:18" ht="32.1" hidden="1" customHeight="1">
      <c r="A222" s="46">
        <v>14</v>
      </c>
      <c r="B222" s="45" t="s">
        <v>161</v>
      </c>
      <c r="C222" s="45" t="s">
        <v>31</v>
      </c>
      <c r="D222" s="45" t="s">
        <v>162</v>
      </c>
      <c r="E222" s="45" t="s">
        <v>1096</v>
      </c>
      <c r="F222" s="46" t="s">
        <v>786</v>
      </c>
      <c r="G222" s="46">
        <v>8</v>
      </c>
      <c r="H222" s="46">
        <v>7</v>
      </c>
      <c r="I222" s="46" t="s">
        <v>780</v>
      </c>
      <c r="J222" s="45" t="s">
        <v>1152</v>
      </c>
      <c r="K222" s="46" t="s">
        <v>819</v>
      </c>
      <c r="L222" s="45" t="s">
        <v>1127</v>
      </c>
      <c r="M222" s="46">
        <v>561</v>
      </c>
      <c r="N222" s="46" t="s">
        <v>1114</v>
      </c>
      <c r="O222" s="46">
        <v>1</v>
      </c>
      <c r="P222" s="45" t="s">
        <v>1128</v>
      </c>
      <c r="Q222" s="47" t="s">
        <v>776</v>
      </c>
      <c r="R222" s="45" t="s">
        <v>784</v>
      </c>
    </row>
    <row r="223" spans="1:18" ht="32.1" hidden="1" customHeight="1">
      <c r="A223" s="46">
        <v>14</v>
      </c>
      <c r="B223" s="45" t="s">
        <v>161</v>
      </c>
      <c r="C223" s="45" t="s">
        <v>31</v>
      </c>
      <c r="D223" s="45" t="s">
        <v>162</v>
      </c>
      <c r="E223" s="45" t="s">
        <v>1096</v>
      </c>
      <c r="F223" s="46" t="s">
        <v>786</v>
      </c>
      <c r="G223" s="46">
        <v>8</v>
      </c>
      <c r="H223" s="46">
        <v>8</v>
      </c>
      <c r="I223" s="46" t="s">
        <v>780</v>
      </c>
      <c r="J223" s="45" t="s">
        <v>1152</v>
      </c>
      <c r="K223" s="46" t="s">
        <v>821</v>
      </c>
      <c r="L223" s="45" t="s">
        <v>1127</v>
      </c>
      <c r="M223" s="46">
        <v>561</v>
      </c>
      <c r="N223" s="46" t="s">
        <v>1115</v>
      </c>
      <c r="O223" s="46">
        <v>1</v>
      </c>
      <c r="P223" s="45" t="s">
        <v>1128</v>
      </c>
      <c r="Q223" s="47" t="s">
        <v>776</v>
      </c>
      <c r="R223" s="45" t="s">
        <v>784</v>
      </c>
    </row>
    <row r="224" spans="1:18" ht="32.1" hidden="1" customHeight="1">
      <c r="A224" s="46">
        <v>14</v>
      </c>
      <c r="B224" s="45" t="s">
        <v>161</v>
      </c>
      <c r="C224" s="45" t="s">
        <v>31</v>
      </c>
      <c r="D224" s="45" t="s">
        <v>162</v>
      </c>
      <c r="E224" s="45" t="s">
        <v>1096</v>
      </c>
      <c r="F224" s="46" t="s">
        <v>786</v>
      </c>
      <c r="G224" s="46">
        <v>8</v>
      </c>
      <c r="H224" s="46">
        <v>9</v>
      </c>
      <c r="I224" s="46" t="s">
        <v>780</v>
      </c>
      <c r="J224" s="45" t="s">
        <v>1152</v>
      </c>
      <c r="K224" s="46" t="s">
        <v>795</v>
      </c>
      <c r="L224" s="45" t="s">
        <v>1127</v>
      </c>
      <c r="M224" s="46">
        <v>561</v>
      </c>
      <c r="N224" s="46" t="s">
        <v>1116</v>
      </c>
      <c r="O224" s="46">
        <v>1</v>
      </c>
      <c r="P224" s="45" t="s">
        <v>1128</v>
      </c>
      <c r="Q224" s="47" t="s">
        <v>776</v>
      </c>
      <c r="R224" s="45" t="s">
        <v>784</v>
      </c>
    </row>
    <row r="225" spans="1:18" ht="32.1" hidden="1" customHeight="1">
      <c r="A225" s="46">
        <v>14</v>
      </c>
      <c r="B225" s="45" t="s">
        <v>161</v>
      </c>
      <c r="C225" s="45" t="s">
        <v>31</v>
      </c>
      <c r="D225" s="45" t="s">
        <v>162</v>
      </c>
      <c r="E225" s="45" t="s">
        <v>1096</v>
      </c>
      <c r="F225" s="46" t="s">
        <v>786</v>
      </c>
      <c r="G225" s="46">
        <v>8</v>
      </c>
      <c r="H225" s="46">
        <v>10</v>
      </c>
      <c r="I225" s="46" t="s">
        <v>780</v>
      </c>
      <c r="J225" s="45" t="s">
        <v>1152</v>
      </c>
      <c r="K225" s="46" t="s">
        <v>824</v>
      </c>
      <c r="L225" s="45" t="s">
        <v>1127</v>
      </c>
      <c r="M225" s="46">
        <v>561</v>
      </c>
      <c r="N225" s="46" t="s">
        <v>1117</v>
      </c>
      <c r="O225" s="46">
        <v>1</v>
      </c>
      <c r="P225" s="45" t="s">
        <v>1128</v>
      </c>
      <c r="Q225" s="47" t="s">
        <v>776</v>
      </c>
      <c r="R225" s="45" t="s">
        <v>784</v>
      </c>
    </row>
    <row r="226" spans="1:18" ht="32.1" hidden="1" customHeight="1">
      <c r="A226" s="46">
        <v>14</v>
      </c>
      <c r="B226" s="45" t="s">
        <v>161</v>
      </c>
      <c r="C226" s="45" t="s">
        <v>31</v>
      </c>
      <c r="D226" s="45" t="s">
        <v>162</v>
      </c>
      <c r="E226" s="45" t="s">
        <v>1153</v>
      </c>
      <c r="F226" s="46" t="s">
        <v>802</v>
      </c>
      <c r="G226" s="46">
        <v>841</v>
      </c>
      <c r="H226" s="46">
        <v>1</v>
      </c>
      <c r="I226" s="46" t="s">
        <v>780</v>
      </c>
      <c r="J226" s="45" t="s">
        <v>1001</v>
      </c>
      <c r="K226" s="46" t="s">
        <v>831</v>
      </c>
      <c r="L226" s="45" t="s">
        <v>1127</v>
      </c>
      <c r="M226" s="46">
        <v>580</v>
      </c>
      <c r="N226" s="46" t="s">
        <v>1154</v>
      </c>
      <c r="O226" s="46">
        <v>1</v>
      </c>
      <c r="P226" s="45" t="s">
        <v>1128</v>
      </c>
      <c r="Q226" s="47" t="s">
        <v>776</v>
      </c>
      <c r="R226" s="45" t="s">
        <v>784</v>
      </c>
    </row>
    <row r="227" spans="1:18" ht="32.1" hidden="1" customHeight="1">
      <c r="A227" s="46">
        <v>14</v>
      </c>
      <c r="B227" s="45" t="s">
        <v>161</v>
      </c>
      <c r="C227" s="45" t="s">
        <v>31</v>
      </c>
      <c r="D227" s="45" t="s">
        <v>162</v>
      </c>
      <c r="E227" s="45" t="s">
        <v>1155</v>
      </c>
      <c r="F227" s="46" t="s">
        <v>794</v>
      </c>
      <c r="G227" s="46">
        <v>1168</v>
      </c>
      <c r="H227" s="46">
        <v>1</v>
      </c>
      <c r="I227" s="46" t="s">
        <v>780</v>
      </c>
      <c r="J227" s="45" t="s">
        <v>1001</v>
      </c>
      <c r="K227" s="46" t="s">
        <v>833</v>
      </c>
      <c r="L227" s="45" t="s">
        <v>1127</v>
      </c>
      <c r="M227" s="46">
        <v>581</v>
      </c>
      <c r="N227" s="46" t="s">
        <v>1156</v>
      </c>
      <c r="O227" s="46">
        <v>1</v>
      </c>
      <c r="P227" s="45" t="s">
        <v>1128</v>
      </c>
      <c r="Q227" s="47" t="s">
        <v>776</v>
      </c>
      <c r="R227" s="45" t="s">
        <v>784</v>
      </c>
    </row>
    <row r="228" spans="1:18" ht="32.1" hidden="1" customHeight="1">
      <c r="A228" s="46">
        <v>14</v>
      </c>
      <c r="B228" s="45" t="s">
        <v>161</v>
      </c>
      <c r="C228" s="45" t="s">
        <v>31</v>
      </c>
      <c r="D228" s="45" t="s">
        <v>162</v>
      </c>
      <c r="E228" s="45" t="s">
        <v>1157</v>
      </c>
      <c r="F228" s="46" t="s">
        <v>804</v>
      </c>
      <c r="G228" s="46">
        <v>2887</v>
      </c>
      <c r="H228" s="46">
        <v>1</v>
      </c>
      <c r="I228" s="46" t="s">
        <v>780</v>
      </c>
      <c r="J228" s="45" t="s">
        <v>888</v>
      </c>
      <c r="K228" s="46" t="s">
        <v>826</v>
      </c>
      <c r="L228" s="45" t="s">
        <v>1127</v>
      </c>
      <c r="M228" s="46">
        <v>582</v>
      </c>
      <c r="N228" s="46" t="s">
        <v>889</v>
      </c>
      <c r="O228" s="46">
        <v>2</v>
      </c>
      <c r="P228" s="45" t="s">
        <v>1128</v>
      </c>
      <c r="Q228" s="47" t="s">
        <v>776</v>
      </c>
      <c r="R228" s="45" t="s">
        <v>784</v>
      </c>
    </row>
    <row r="229" spans="1:18" ht="32.1" hidden="1" customHeight="1">
      <c r="A229" s="46">
        <v>14</v>
      </c>
      <c r="B229" s="45" t="s">
        <v>161</v>
      </c>
      <c r="C229" s="45" t="s">
        <v>31</v>
      </c>
      <c r="D229" s="45" t="s">
        <v>162</v>
      </c>
      <c r="E229" s="45" t="s">
        <v>1158</v>
      </c>
      <c r="F229" s="46" t="s">
        <v>879</v>
      </c>
      <c r="G229" s="46">
        <v>120</v>
      </c>
      <c r="H229" s="46">
        <v>1</v>
      </c>
      <c r="I229" s="46" t="s">
        <v>780</v>
      </c>
      <c r="J229" s="45" t="s">
        <v>1094</v>
      </c>
      <c r="K229" s="46" t="s">
        <v>791</v>
      </c>
      <c r="L229" s="45" t="s">
        <v>1127</v>
      </c>
      <c r="M229" s="46">
        <v>583</v>
      </c>
      <c r="N229" s="46" t="s">
        <v>1095</v>
      </c>
      <c r="O229" s="46">
        <v>1</v>
      </c>
      <c r="P229" s="45" t="s">
        <v>1128</v>
      </c>
      <c r="Q229" s="47" t="s">
        <v>776</v>
      </c>
      <c r="R229" s="45" t="s">
        <v>784</v>
      </c>
    </row>
    <row r="230" spans="1:18" ht="32.1" hidden="1" customHeight="1">
      <c r="A230" s="46">
        <v>14</v>
      </c>
      <c r="B230" s="45" t="s">
        <v>161</v>
      </c>
      <c r="C230" s="45" t="s">
        <v>31</v>
      </c>
      <c r="D230" s="45" t="s">
        <v>162</v>
      </c>
      <c r="E230" s="45" t="s">
        <v>1014</v>
      </c>
      <c r="F230" s="46" t="s">
        <v>883</v>
      </c>
      <c r="G230" s="46">
        <v>32</v>
      </c>
      <c r="H230" s="46">
        <v>1</v>
      </c>
      <c r="I230" s="46" t="s">
        <v>780</v>
      </c>
      <c r="J230" s="45" t="s">
        <v>1001</v>
      </c>
      <c r="K230" s="46" t="s">
        <v>831</v>
      </c>
      <c r="L230" s="45" t="s">
        <v>1127</v>
      </c>
      <c r="M230" s="46">
        <v>584</v>
      </c>
      <c r="N230" s="46" t="s">
        <v>1154</v>
      </c>
      <c r="O230" s="46">
        <v>1</v>
      </c>
      <c r="P230" s="45" t="s">
        <v>1128</v>
      </c>
      <c r="Q230" s="47" t="s">
        <v>776</v>
      </c>
      <c r="R230" s="45" t="s">
        <v>784</v>
      </c>
    </row>
    <row r="231" spans="1:18" ht="32.1" hidden="1" customHeight="1">
      <c r="A231" s="46">
        <v>15</v>
      </c>
      <c r="B231" s="45" t="s">
        <v>169</v>
      </c>
      <c r="C231" s="45" t="s">
        <v>31</v>
      </c>
      <c r="D231" s="45" t="s">
        <v>170</v>
      </c>
      <c r="E231" s="45" t="s">
        <v>1159</v>
      </c>
      <c r="F231" s="46" t="s">
        <v>770</v>
      </c>
      <c r="G231" s="46">
        <v>810</v>
      </c>
      <c r="H231" s="46">
        <v>1</v>
      </c>
      <c r="I231" s="46" t="s">
        <v>780</v>
      </c>
      <c r="J231" s="45" t="s">
        <v>799</v>
      </c>
      <c r="K231" s="46" t="s">
        <v>819</v>
      </c>
      <c r="L231" s="45" t="s">
        <v>1160</v>
      </c>
      <c r="M231" s="46">
        <v>229</v>
      </c>
      <c r="N231" s="46" t="s">
        <v>999</v>
      </c>
      <c r="O231" s="46">
        <v>1</v>
      </c>
      <c r="P231" s="45" t="s">
        <v>1161</v>
      </c>
      <c r="Q231" s="47" t="s">
        <v>776</v>
      </c>
      <c r="R231" s="45" t="s">
        <v>784</v>
      </c>
    </row>
    <row r="232" spans="1:18" ht="32.1" hidden="1" customHeight="1">
      <c r="A232" s="46">
        <v>15</v>
      </c>
      <c r="B232" s="45" t="s">
        <v>169</v>
      </c>
      <c r="C232" s="45" t="s">
        <v>31</v>
      </c>
      <c r="D232" s="45" t="s">
        <v>170</v>
      </c>
      <c r="E232" s="45" t="s">
        <v>1162</v>
      </c>
      <c r="F232" s="46" t="s">
        <v>842</v>
      </c>
      <c r="G232" s="46">
        <v>1636</v>
      </c>
      <c r="H232" s="46">
        <v>1</v>
      </c>
      <c r="I232" s="46" t="s">
        <v>780</v>
      </c>
      <c r="J232" s="45" t="s">
        <v>799</v>
      </c>
      <c r="K232" s="46" t="s">
        <v>824</v>
      </c>
      <c r="L232" s="45" t="s">
        <v>1160</v>
      </c>
      <c r="M232" s="46">
        <v>230</v>
      </c>
      <c r="N232" s="46" t="s">
        <v>902</v>
      </c>
      <c r="O232" s="46">
        <v>1</v>
      </c>
      <c r="P232" s="45" t="s">
        <v>1161</v>
      </c>
      <c r="Q232" s="47" t="s">
        <v>776</v>
      </c>
      <c r="R232" s="45" t="s">
        <v>784</v>
      </c>
    </row>
    <row r="233" spans="1:18" ht="32.1" hidden="1" customHeight="1">
      <c r="A233" s="46">
        <v>15</v>
      </c>
      <c r="B233" s="45" t="s">
        <v>169</v>
      </c>
      <c r="C233" s="45" t="s">
        <v>31</v>
      </c>
      <c r="D233" s="45" t="s">
        <v>170</v>
      </c>
      <c r="E233" s="45" t="s">
        <v>1163</v>
      </c>
      <c r="F233" s="46" t="s">
        <v>809</v>
      </c>
      <c r="G233" s="46">
        <v>5419</v>
      </c>
      <c r="H233" s="46">
        <v>1</v>
      </c>
      <c r="I233" s="46" t="s">
        <v>780</v>
      </c>
      <c r="J233" s="45" t="s">
        <v>787</v>
      </c>
      <c r="K233" s="46" t="s">
        <v>806</v>
      </c>
      <c r="L233" s="45" t="s">
        <v>1160</v>
      </c>
      <c r="M233" s="46">
        <v>231</v>
      </c>
      <c r="N233" s="46" t="s">
        <v>872</v>
      </c>
      <c r="O233" s="46">
        <v>1</v>
      </c>
      <c r="P233" s="45" t="s">
        <v>1161</v>
      </c>
      <c r="Q233" s="47" t="s">
        <v>776</v>
      </c>
      <c r="R233" s="45" t="s">
        <v>784</v>
      </c>
    </row>
    <row r="234" spans="1:18" ht="32.1" hidden="1" customHeight="1">
      <c r="A234" s="46">
        <v>15</v>
      </c>
      <c r="B234" s="45" t="s">
        <v>169</v>
      </c>
      <c r="C234" s="45" t="s">
        <v>31</v>
      </c>
      <c r="D234" s="45" t="s">
        <v>170</v>
      </c>
      <c r="E234" s="45" t="s">
        <v>1164</v>
      </c>
      <c r="F234" s="46" t="s">
        <v>848</v>
      </c>
      <c r="G234" s="46">
        <v>149</v>
      </c>
      <c r="H234" s="46">
        <v>1</v>
      </c>
      <c r="I234" s="46" t="s">
        <v>780</v>
      </c>
      <c r="J234" s="45" t="s">
        <v>1001</v>
      </c>
      <c r="K234" s="46" t="s">
        <v>826</v>
      </c>
      <c r="L234" s="45" t="s">
        <v>1160</v>
      </c>
      <c r="M234" s="46">
        <v>232</v>
      </c>
      <c r="N234" s="46" t="s">
        <v>1088</v>
      </c>
      <c r="O234" s="46">
        <v>1</v>
      </c>
      <c r="P234" s="45" t="s">
        <v>1161</v>
      </c>
      <c r="Q234" s="47" t="s">
        <v>776</v>
      </c>
      <c r="R234" s="45" t="s">
        <v>784</v>
      </c>
    </row>
    <row r="235" spans="1:18" ht="32.1" hidden="1" customHeight="1">
      <c r="A235" s="46">
        <v>15</v>
      </c>
      <c r="B235" s="45" t="s">
        <v>169</v>
      </c>
      <c r="C235" s="45" t="s">
        <v>31</v>
      </c>
      <c r="D235" s="45" t="s">
        <v>170</v>
      </c>
      <c r="E235" s="45" t="s">
        <v>1165</v>
      </c>
      <c r="F235" s="46" t="s">
        <v>836</v>
      </c>
      <c r="G235" s="46">
        <v>372</v>
      </c>
      <c r="H235" s="46">
        <v>1</v>
      </c>
      <c r="I235" s="46" t="s">
        <v>780</v>
      </c>
      <c r="J235" s="45" t="s">
        <v>1001</v>
      </c>
      <c r="K235" s="46" t="s">
        <v>806</v>
      </c>
      <c r="L235" s="45" t="s">
        <v>1160</v>
      </c>
      <c r="M235" s="46">
        <v>233</v>
      </c>
      <c r="N235" s="46" t="s">
        <v>1106</v>
      </c>
      <c r="O235" s="46">
        <v>1</v>
      </c>
      <c r="P235" s="45" t="s">
        <v>1161</v>
      </c>
      <c r="Q235" s="47" t="s">
        <v>776</v>
      </c>
      <c r="R235" s="45" t="s">
        <v>784</v>
      </c>
    </row>
    <row r="236" spans="1:18" ht="32.1" hidden="1" customHeight="1">
      <c r="A236" s="46">
        <v>15</v>
      </c>
      <c r="B236" s="45" t="s">
        <v>169</v>
      </c>
      <c r="C236" s="45" t="s">
        <v>31</v>
      </c>
      <c r="D236" s="45" t="s">
        <v>170</v>
      </c>
      <c r="E236" s="45" t="s">
        <v>1166</v>
      </c>
      <c r="F236" s="46" t="s">
        <v>798</v>
      </c>
      <c r="G236" s="46">
        <v>1284</v>
      </c>
      <c r="H236" s="46">
        <v>1</v>
      </c>
      <c r="I236" s="46" t="s">
        <v>780</v>
      </c>
      <c r="J236" s="45" t="s">
        <v>1001</v>
      </c>
      <c r="K236" s="46" t="s">
        <v>831</v>
      </c>
      <c r="L236" s="45" t="s">
        <v>1160</v>
      </c>
      <c r="M236" s="46">
        <v>234</v>
      </c>
      <c r="N236" s="46" t="s">
        <v>1154</v>
      </c>
      <c r="O236" s="46">
        <v>1</v>
      </c>
      <c r="P236" s="45" t="s">
        <v>1161</v>
      </c>
      <c r="Q236" s="47" t="s">
        <v>776</v>
      </c>
      <c r="R236" s="45" t="s">
        <v>784</v>
      </c>
    </row>
    <row r="237" spans="1:18" ht="32.1" hidden="1" customHeight="1">
      <c r="A237" s="46">
        <v>15</v>
      </c>
      <c r="B237" s="45" t="s">
        <v>169</v>
      </c>
      <c r="C237" s="45" t="s">
        <v>31</v>
      </c>
      <c r="D237" s="45" t="s">
        <v>170</v>
      </c>
      <c r="E237" s="45" t="s">
        <v>1167</v>
      </c>
      <c r="F237" s="46" t="s">
        <v>786</v>
      </c>
      <c r="G237" s="46">
        <v>50</v>
      </c>
      <c r="H237" s="46">
        <v>1</v>
      </c>
      <c r="I237" s="46" t="s">
        <v>780</v>
      </c>
      <c r="J237" s="45" t="s">
        <v>787</v>
      </c>
      <c r="K237" s="46" t="s">
        <v>806</v>
      </c>
      <c r="L237" s="45" t="s">
        <v>1160</v>
      </c>
      <c r="M237" s="46">
        <v>235</v>
      </c>
      <c r="N237" s="46" t="s">
        <v>872</v>
      </c>
      <c r="O237" s="46">
        <v>1</v>
      </c>
      <c r="P237" s="45" t="s">
        <v>1161</v>
      </c>
      <c r="Q237" s="47" t="s">
        <v>776</v>
      </c>
      <c r="R237" s="45" t="s">
        <v>784</v>
      </c>
    </row>
    <row r="238" spans="1:18" ht="32.1" hidden="1" customHeight="1">
      <c r="A238" s="46">
        <v>16</v>
      </c>
      <c r="B238" s="45" t="s">
        <v>177</v>
      </c>
      <c r="C238" s="45" t="s">
        <v>31</v>
      </c>
      <c r="D238" s="45" t="s">
        <v>178</v>
      </c>
      <c r="E238" s="45" t="s">
        <v>838</v>
      </c>
      <c r="F238" s="46" t="s">
        <v>770</v>
      </c>
      <c r="G238" s="46">
        <v>0</v>
      </c>
      <c r="H238" s="46">
        <v>1</v>
      </c>
      <c r="I238" s="46" t="s">
        <v>780</v>
      </c>
      <c r="J238" s="45" t="s">
        <v>810</v>
      </c>
      <c r="K238" s="46" t="s">
        <v>791</v>
      </c>
      <c r="L238" s="45" t="s">
        <v>1168</v>
      </c>
      <c r="M238" s="46">
        <v>361</v>
      </c>
      <c r="N238" s="46" t="s">
        <v>811</v>
      </c>
      <c r="O238" s="46">
        <v>1</v>
      </c>
      <c r="P238" s="45" t="s">
        <v>1169</v>
      </c>
      <c r="Q238" s="47" t="s">
        <v>776</v>
      </c>
      <c r="R238" s="45" t="s">
        <v>784</v>
      </c>
    </row>
    <row r="239" spans="1:18" ht="32.1" hidden="1" customHeight="1">
      <c r="A239" s="46">
        <v>16</v>
      </c>
      <c r="B239" s="45" t="s">
        <v>177</v>
      </c>
      <c r="C239" s="45" t="s">
        <v>31</v>
      </c>
      <c r="D239" s="45" t="s">
        <v>178</v>
      </c>
      <c r="E239" s="45" t="s">
        <v>838</v>
      </c>
      <c r="F239" s="46" t="s">
        <v>770</v>
      </c>
      <c r="G239" s="46">
        <v>0</v>
      </c>
      <c r="H239" s="46">
        <v>1</v>
      </c>
      <c r="I239" s="46" t="s">
        <v>780</v>
      </c>
      <c r="J239" s="45" t="s">
        <v>810</v>
      </c>
      <c r="K239" s="46" t="s">
        <v>782</v>
      </c>
      <c r="L239" s="45" t="s">
        <v>1168</v>
      </c>
      <c r="M239" s="46">
        <v>361</v>
      </c>
      <c r="N239" s="46" t="s">
        <v>812</v>
      </c>
      <c r="O239" s="46">
        <v>1</v>
      </c>
      <c r="P239" s="45" t="s">
        <v>1169</v>
      </c>
      <c r="Q239" s="47" t="s">
        <v>776</v>
      </c>
      <c r="R239" s="45" t="s">
        <v>784</v>
      </c>
    </row>
    <row r="240" spans="1:18" ht="32.1" hidden="1" customHeight="1">
      <c r="A240" s="46">
        <v>16</v>
      </c>
      <c r="B240" s="45" t="s">
        <v>177</v>
      </c>
      <c r="C240" s="45" t="s">
        <v>31</v>
      </c>
      <c r="D240" s="45" t="s">
        <v>178</v>
      </c>
      <c r="E240" s="45" t="s">
        <v>838</v>
      </c>
      <c r="F240" s="46" t="s">
        <v>770</v>
      </c>
      <c r="G240" s="46">
        <v>0</v>
      </c>
      <c r="H240" s="46">
        <v>1</v>
      </c>
      <c r="I240" s="46" t="s">
        <v>780</v>
      </c>
      <c r="J240" s="45" t="s">
        <v>810</v>
      </c>
      <c r="K240" s="46" t="s">
        <v>813</v>
      </c>
      <c r="L240" s="45" t="s">
        <v>1168</v>
      </c>
      <c r="M240" s="46">
        <v>361</v>
      </c>
      <c r="N240" s="46" t="s">
        <v>814</v>
      </c>
      <c r="O240" s="46">
        <v>1</v>
      </c>
      <c r="P240" s="45" t="s">
        <v>1169</v>
      </c>
      <c r="Q240" s="47" t="s">
        <v>776</v>
      </c>
      <c r="R240" s="45" t="s">
        <v>784</v>
      </c>
    </row>
    <row r="241" spans="1:18" ht="32.1" hidden="1" customHeight="1">
      <c r="A241" s="46">
        <v>16</v>
      </c>
      <c r="B241" s="45" t="s">
        <v>177</v>
      </c>
      <c r="C241" s="45" t="s">
        <v>31</v>
      </c>
      <c r="D241" s="45" t="s">
        <v>178</v>
      </c>
      <c r="E241" s="45" t="s">
        <v>838</v>
      </c>
      <c r="F241" s="46" t="s">
        <v>770</v>
      </c>
      <c r="G241" s="46">
        <v>0</v>
      </c>
      <c r="H241" s="46">
        <v>1</v>
      </c>
      <c r="I241" s="46" t="s">
        <v>780</v>
      </c>
      <c r="J241" s="45" t="s">
        <v>810</v>
      </c>
      <c r="K241" s="46" t="s">
        <v>815</v>
      </c>
      <c r="L241" s="45" t="s">
        <v>1168</v>
      </c>
      <c r="M241" s="46">
        <v>361</v>
      </c>
      <c r="N241" s="46" t="s">
        <v>816</v>
      </c>
      <c r="O241" s="46">
        <v>1</v>
      </c>
      <c r="P241" s="45" t="s">
        <v>1169</v>
      </c>
      <c r="Q241" s="47" t="s">
        <v>776</v>
      </c>
      <c r="R241" s="45" t="s">
        <v>784</v>
      </c>
    </row>
    <row r="242" spans="1:18" ht="32.1" hidden="1" customHeight="1">
      <c r="A242" s="46">
        <v>16</v>
      </c>
      <c r="B242" s="45" t="s">
        <v>177</v>
      </c>
      <c r="C242" s="45" t="s">
        <v>31</v>
      </c>
      <c r="D242" s="45" t="s">
        <v>178</v>
      </c>
      <c r="E242" s="45" t="s">
        <v>838</v>
      </c>
      <c r="F242" s="46" t="s">
        <v>770</v>
      </c>
      <c r="G242" s="46">
        <v>0</v>
      </c>
      <c r="H242" s="46">
        <v>1</v>
      </c>
      <c r="I242" s="46" t="s">
        <v>780</v>
      </c>
      <c r="J242" s="45" t="s">
        <v>810</v>
      </c>
      <c r="K242" s="46" t="s">
        <v>817</v>
      </c>
      <c r="L242" s="45" t="s">
        <v>1168</v>
      </c>
      <c r="M242" s="46">
        <v>361</v>
      </c>
      <c r="N242" s="46" t="s">
        <v>818</v>
      </c>
      <c r="O242" s="46">
        <v>1</v>
      </c>
      <c r="P242" s="45" t="s">
        <v>1169</v>
      </c>
      <c r="Q242" s="47" t="s">
        <v>776</v>
      </c>
      <c r="R242" s="45" t="s">
        <v>784</v>
      </c>
    </row>
    <row r="243" spans="1:18" ht="32.1" hidden="1" customHeight="1">
      <c r="A243" s="46">
        <v>16</v>
      </c>
      <c r="B243" s="45" t="s">
        <v>177</v>
      </c>
      <c r="C243" s="45" t="s">
        <v>31</v>
      </c>
      <c r="D243" s="45" t="s">
        <v>178</v>
      </c>
      <c r="E243" s="45" t="s">
        <v>838</v>
      </c>
      <c r="F243" s="46" t="s">
        <v>770</v>
      </c>
      <c r="G243" s="46">
        <v>0</v>
      </c>
      <c r="H243" s="46">
        <v>1</v>
      </c>
      <c r="I243" s="46" t="s">
        <v>780</v>
      </c>
      <c r="J243" s="45" t="s">
        <v>810</v>
      </c>
      <c r="K243" s="46" t="s">
        <v>819</v>
      </c>
      <c r="L243" s="45" t="s">
        <v>1168</v>
      </c>
      <c r="M243" s="46">
        <v>361</v>
      </c>
      <c r="N243" s="46" t="s">
        <v>820</v>
      </c>
      <c r="O243" s="46">
        <v>1</v>
      </c>
      <c r="P243" s="45" t="s">
        <v>1169</v>
      </c>
      <c r="Q243" s="47" t="s">
        <v>776</v>
      </c>
      <c r="R243" s="45" t="s">
        <v>784</v>
      </c>
    </row>
    <row r="244" spans="1:18" ht="32.1" hidden="1" customHeight="1">
      <c r="A244" s="46">
        <v>16</v>
      </c>
      <c r="B244" s="45" t="s">
        <v>177</v>
      </c>
      <c r="C244" s="45" t="s">
        <v>31</v>
      </c>
      <c r="D244" s="45" t="s">
        <v>178</v>
      </c>
      <c r="E244" s="45" t="s">
        <v>838</v>
      </c>
      <c r="F244" s="46" t="s">
        <v>770</v>
      </c>
      <c r="G244" s="46">
        <v>0</v>
      </c>
      <c r="H244" s="46">
        <v>1</v>
      </c>
      <c r="I244" s="46" t="s">
        <v>780</v>
      </c>
      <c r="J244" s="45" t="s">
        <v>810</v>
      </c>
      <c r="K244" s="46" t="s">
        <v>821</v>
      </c>
      <c r="L244" s="45" t="s">
        <v>1168</v>
      </c>
      <c r="M244" s="46">
        <v>361</v>
      </c>
      <c r="N244" s="46" t="s">
        <v>822</v>
      </c>
      <c r="O244" s="46">
        <v>1</v>
      </c>
      <c r="P244" s="45" t="s">
        <v>1169</v>
      </c>
      <c r="Q244" s="47" t="s">
        <v>776</v>
      </c>
      <c r="R244" s="45" t="s">
        <v>784</v>
      </c>
    </row>
    <row r="245" spans="1:18" ht="32.1" hidden="1" customHeight="1">
      <c r="A245" s="46">
        <v>16</v>
      </c>
      <c r="B245" s="45" t="s">
        <v>177</v>
      </c>
      <c r="C245" s="45" t="s">
        <v>31</v>
      </c>
      <c r="D245" s="45" t="s">
        <v>178</v>
      </c>
      <c r="E245" s="45" t="s">
        <v>838</v>
      </c>
      <c r="F245" s="46" t="s">
        <v>770</v>
      </c>
      <c r="G245" s="46">
        <v>0</v>
      </c>
      <c r="H245" s="46">
        <v>1</v>
      </c>
      <c r="I245" s="46" t="s">
        <v>780</v>
      </c>
      <c r="J245" s="45" t="s">
        <v>810</v>
      </c>
      <c r="K245" s="46" t="s">
        <v>795</v>
      </c>
      <c r="L245" s="45" t="s">
        <v>1168</v>
      </c>
      <c r="M245" s="46">
        <v>361</v>
      </c>
      <c r="N245" s="46" t="s">
        <v>823</v>
      </c>
      <c r="O245" s="46">
        <v>1</v>
      </c>
      <c r="P245" s="45" t="s">
        <v>1169</v>
      </c>
      <c r="Q245" s="47" t="s">
        <v>776</v>
      </c>
      <c r="R245" s="45" t="s">
        <v>784</v>
      </c>
    </row>
    <row r="246" spans="1:18" ht="32.1" hidden="1" customHeight="1">
      <c r="A246" s="46">
        <v>16</v>
      </c>
      <c r="B246" s="45" t="s">
        <v>177</v>
      </c>
      <c r="C246" s="45" t="s">
        <v>31</v>
      </c>
      <c r="D246" s="45" t="s">
        <v>178</v>
      </c>
      <c r="E246" s="45" t="s">
        <v>838</v>
      </c>
      <c r="F246" s="46" t="s">
        <v>770</v>
      </c>
      <c r="G246" s="46">
        <v>0</v>
      </c>
      <c r="H246" s="46">
        <v>1</v>
      </c>
      <c r="I246" s="46" t="s">
        <v>780</v>
      </c>
      <c r="J246" s="45" t="s">
        <v>810</v>
      </c>
      <c r="K246" s="46" t="s">
        <v>824</v>
      </c>
      <c r="L246" s="45" t="s">
        <v>1168</v>
      </c>
      <c r="M246" s="46">
        <v>361</v>
      </c>
      <c r="N246" s="46" t="s">
        <v>825</v>
      </c>
      <c r="O246" s="46">
        <v>1</v>
      </c>
      <c r="P246" s="45" t="s">
        <v>1169</v>
      </c>
      <c r="Q246" s="47" t="s">
        <v>776</v>
      </c>
      <c r="R246" s="45" t="s">
        <v>784</v>
      </c>
    </row>
    <row r="247" spans="1:18" ht="32.1" hidden="1" customHeight="1">
      <c r="A247" s="46">
        <v>16</v>
      </c>
      <c r="B247" s="45" t="s">
        <v>177</v>
      </c>
      <c r="C247" s="45" t="s">
        <v>31</v>
      </c>
      <c r="D247" s="45" t="s">
        <v>178</v>
      </c>
      <c r="E247" s="45" t="s">
        <v>838</v>
      </c>
      <c r="F247" s="46" t="s">
        <v>770</v>
      </c>
      <c r="G247" s="46">
        <v>0</v>
      </c>
      <c r="H247" s="46">
        <v>1</v>
      </c>
      <c r="I247" s="46" t="s">
        <v>780</v>
      </c>
      <c r="J247" s="45" t="s">
        <v>810</v>
      </c>
      <c r="K247" s="46" t="s">
        <v>826</v>
      </c>
      <c r="L247" s="45" t="s">
        <v>1168</v>
      </c>
      <c r="M247" s="46">
        <v>361</v>
      </c>
      <c r="N247" s="46" t="s">
        <v>827</v>
      </c>
      <c r="O247" s="46">
        <v>1</v>
      </c>
      <c r="P247" s="45" t="s">
        <v>1169</v>
      </c>
      <c r="Q247" s="47" t="s">
        <v>776</v>
      </c>
      <c r="R247" s="45" t="s">
        <v>784</v>
      </c>
    </row>
    <row r="248" spans="1:18" ht="32.1" hidden="1" customHeight="1">
      <c r="A248" s="46">
        <v>16</v>
      </c>
      <c r="B248" s="45" t="s">
        <v>177</v>
      </c>
      <c r="C248" s="45" t="s">
        <v>31</v>
      </c>
      <c r="D248" s="45" t="s">
        <v>178</v>
      </c>
      <c r="E248" s="45" t="s">
        <v>838</v>
      </c>
      <c r="F248" s="46" t="s">
        <v>770</v>
      </c>
      <c r="G248" s="46">
        <v>0</v>
      </c>
      <c r="H248" s="46">
        <v>1</v>
      </c>
      <c r="I248" s="46" t="s">
        <v>780</v>
      </c>
      <c r="J248" s="45" t="s">
        <v>810</v>
      </c>
      <c r="K248" s="46" t="s">
        <v>806</v>
      </c>
      <c r="L248" s="45" t="s">
        <v>1168</v>
      </c>
      <c r="M248" s="46">
        <v>361</v>
      </c>
      <c r="N248" s="46" t="s">
        <v>828</v>
      </c>
      <c r="O248" s="46">
        <v>1</v>
      </c>
      <c r="P248" s="45" t="s">
        <v>1169</v>
      </c>
      <c r="Q248" s="47" t="s">
        <v>776</v>
      </c>
      <c r="R248" s="45" t="s">
        <v>784</v>
      </c>
    </row>
    <row r="249" spans="1:18" ht="32.1" hidden="1" customHeight="1">
      <c r="A249" s="46">
        <v>16</v>
      </c>
      <c r="B249" s="45" t="s">
        <v>177</v>
      </c>
      <c r="C249" s="45" t="s">
        <v>31</v>
      </c>
      <c r="D249" s="45" t="s">
        <v>178</v>
      </c>
      <c r="E249" s="45" t="s">
        <v>838</v>
      </c>
      <c r="F249" s="46" t="s">
        <v>770</v>
      </c>
      <c r="G249" s="46">
        <v>0</v>
      </c>
      <c r="H249" s="46">
        <v>1</v>
      </c>
      <c r="I249" s="46" t="s">
        <v>780</v>
      </c>
      <c r="J249" s="45" t="s">
        <v>810</v>
      </c>
      <c r="K249" s="46" t="s">
        <v>829</v>
      </c>
      <c r="L249" s="45" t="s">
        <v>1168</v>
      </c>
      <c r="M249" s="46">
        <v>361</v>
      </c>
      <c r="N249" s="46" t="s">
        <v>830</v>
      </c>
      <c r="O249" s="46">
        <v>1</v>
      </c>
      <c r="P249" s="45" t="s">
        <v>1169</v>
      </c>
      <c r="Q249" s="47" t="s">
        <v>776</v>
      </c>
      <c r="R249" s="45" t="s">
        <v>784</v>
      </c>
    </row>
    <row r="250" spans="1:18" ht="32.1" hidden="1" customHeight="1">
      <c r="A250" s="46">
        <v>16</v>
      </c>
      <c r="B250" s="45" t="s">
        <v>177</v>
      </c>
      <c r="C250" s="45" t="s">
        <v>31</v>
      </c>
      <c r="D250" s="45" t="s">
        <v>178</v>
      </c>
      <c r="E250" s="45" t="s">
        <v>838</v>
      </c>
      <c r="F250" s="46" t="s">
        <v>770</v>
      </c>
      <c r="G250" s="46">
        <v>0</v>
      </c>
      <c r="H250" s="46">
        <v>1</v>
      </c>
      <c r="I250" s="46" t="s">
        <v>780</v>
      </c>
      <c r="J250" s="45" t="s">
        <v>810</v>
      </c>
      <c r="K250" s="46" t="s">
        <v>831</v>
      </c>
      <c r="L250" s="45" t="s">
        <v>1168</v>
      </c>
      <c r="M250" s="46">
        <v>361</v>
      </c>
      <c r="N250" s="46" t="s">
        <v>832</v>
      </c>
      <c r="O250" s="46">
        <v>1</v>
      </c>
      <c r="P250" s="45" t="s">
        <v>1169</v>
      </c>
      <c r="Q250" s="47" t="s">
        <v>776</v>
      </c>
      <c r="R250" s="45" t="s">
        <v>784</v>
      </c>
    </row>
    <row r="251" spans="1:18" ht="32.1" hidden="1" customHeight="1">
      <c r="A251" s="46">
        <v>16</v>
      </c>
      <c r="B251" s="45" t="s">
        <v>177</v>
      </c>
      <c r="C251" s="45" t="s">
        <v>31</v>
      </c>
      <c r="D251" s="45" t="s">
        <v>178</v>
      </c>
      <c r="E251" s="45" t="s">
        <v>838</v>
      </c>
      <c r="F251" s="46" t="s">
        <v>770</v>
      </c>
      <c r="G251" s="46">
        <v>0</v>
      </c>
      <c r="H251" s="46">
        <v>1</v>
      </c>
      <c r="I251" s="46" t="s">
        <v>780</v>
      </c>
      <c r="J251" s="45" t="s">
        <v>810</v>
      </c>
      <c r="K251" s="46" t="s">
        <v>833</v>
      </c>
      <c r="L251" s="45" t="s">
        <v>1168</v>
      </c>
      <c r="M251" s="46">
        <v>361</v>
      </c>
      <c r="N251" s="46" t="s">
        <v>834</v>
      </c>
      <c r="O251" s="46">
        <v>1</v>
      </c>
      <c r="P251" s="45" t="s">
        <v>1169</v>
      </c>
      <c r="Q251" s="47" t="s">
        <v>776</v>
      </c>
      <c r="R251" s="45" t="s">
        <v>784</v>
      </c>
    </row>
    <row r="252" spans="1:18" ht="32.1" hidden="1" customHeight="1">
      <c r="A252" s="46">
        <v>16</v>
      </c>
      <c r="B252" s="45" t="s">
        <v>177</v>
      </c>
      <c r="C252" s="45" t="s">
        <v>31</v>
      </c>
      <c r="D252" s="45" t="s">
        <v>178</v>
      </c>
      <c r="E252" s="45" t="s">
        <v>838</v>
      </c>
      <c r="F252" s="46" t="s">
        <v>842</v>
      </c>
      <c r="G252" s="46">
        <v>0</v>
      </c>
      <c r="H252" s="46">
        <v>1</v>
      </c>
      <c r="I252" s="46" t="s">
        <v>780</v>
      </c>
      <c r="J252" s="45" t="s">
        <v>1170</v>
      </c>
      <c r="K252" s="46" t="s">
        <v>831</v>
      </c>
      <c r="L252" s="45" t="s">
        <v>1168</v>
      </c>
      <c r="M252" s="46">
        <v>366</v>
      </c>
      <c r="N252" s="46" t="s">
        <v>1104</v>
      </c>
      <c r="O252" s="46">
        <v>1</v>
      </c>
      <c r="P252" s="45" t="s">
        <v>1169</v>
      </c>
      <c r="Q252" s="47" t="s">
        <v>776</v>
      </c>
      <c r="R252" s="45" t="s">
        <v>784</v>
      </c>
    </row>
    <row r="253" spans="1:18" ht="32.1" hidden="1" customHeight="1">
      <c r="A253" s="46">
        <v>16</v>
      </c>
      <c r="B253" s="45" t="s">
        <v>177</v>
      </c>
      <c r="C253" s="45" t="s">
        <v>31</v>
      </c>
      <c r="D253" s="45" t="s">
        <v>178</v>
      </c>
      <c r="E253" s="45" t="s">
        <v>838</v>
      </c>
      <c r="F253" s="46" t="s">
        <v>809</v>
      </c>
      <c r="G253" s="46">
        <v>0</v>
      </c>
      <c r="H253" s="46">
        <v>1</v>
      </c>
      <c r="I253" s="46" t="s">
        <v>780</v>
      </c>
      <c r="J253" s="45" t="s">
        <v>1001</v>
      </c>
      <c r="K253" s="46" t="s">
        <v>806</v>
      </c>
      <c r="L253" s="45" t="s">
        <v>1168</v>
      </c>
      <c r="M253" s="46">
        <v>374</v>
      </c>
      <c r="N253" s="46" t="s">
        <v>1106</v>
      </c>
      <c r="O253" s="46">
        <v>1</v>
      </c>
      <c r="P253" s="45" t="s">
        <v>1169</v>
      </c>
      <c r="Q253" s="47" t="s">
        <v>776</v>
      </c>
      <c r="R253" s="45" t="s">
        <v>784</v>
      </c>
    </row>
    <row r="254" spans="1:18" ht="32.1" hidden="1" customHeight="1">
      <c r="A254" s="46">
        <v>16</v>
      </c>
      <c r="B254" s="45" t="s">
        <v>177</v>
      </c>
      <c r="C254" s="45" t="s">
        <v>31</v>
      </c>
      <c r="D254" s="45" t="s">
        <v>178</v>
      </c>
      <c r="E254" s="45" t="s">
        <v>838</v>
      </c>
      <c r="F254" s="46" t="s">
        <v>848</v>
      </c>
      <c r="G254" s="46">
        <v>0</v>
      </c>
      <c r="H254" s="46">
        <v>1</v>
      </c>
      <c r="I254" s="46" t="s">
        <v>780</v>
      </c>
      <c r="J254" s="45" t="s">
        <v>1001</v>
      </c>
      <c r="K254" s="46" t="s">
        <v>831</v>
      </c>
      <c r="L254" s="45" t="s">
        <v>1168</v>
      </c>
      <c r="M254" s="46">
        <v>375</v>
      </c>
      <c r="N254" s="46" t="s">
        <v>1154</v>
      </c>
      <c r="O254" s="46">
        <v>1</v>
      </c>
      <c r="P254" s="45" t="s">
        <v>1169</v>
      </c>
      <c r="Q254" s="47" t="s">
        <v>776</v>
      </c>
      <c r="R254" s="45" t="s">
        <v>784</v>
      </c>
    </row>
    <row r="255" spans="1:18" ht="32.1" hidden="1" customHeight="1">
      <c r="A255" s="46">
        <v>16</v>
      </c>
      <c r="B255" s="45" t="s">
        <v>177</v>
      </c>
      <c r="C255" s="45" t="s">
        <v>31</v>
      </c>
      <c r="D255" s="45" t="s">
        <v>178</v>
      </c>
      <c r="E255" s="45" t="s">
        <v>838</v>
      </c>
      <c r="F255" s="46" t="s">
        <v>836</v>
      </c>
      <c r="G255" s="46">
        <v>0</v>
      </c>
      <c r="H255" s="46">
        <v>1</v>
      </c>
      <c r="I255" s="46" t="s">
        <v>780</v>
      </c>
      <c r="J255" s="45" t="s">
        <v>1094</v>
      </c>
      <c r="K255" s="46" t="s">
        <v>791</v>
      </c>
      <c r="L255" s="45" t="s">
        <v>1168</v>
      </c>
      <c r="M255" s="46">
        <v>376</v>
      </c>
      <c r="N255" s="46" t="s">
        <v>1095</v>
      </c>
      <c r="O255" s="46">
        <v>1</v>
      </c>
      <c r="P255" s="45" t="s">
        <v>1169</v>
      </c>
      <c r="Q255" s="47" t="s">
        <v>776</v>
      </c>
      <c r="R255" s="45" t="s">
        <v>784</v>
      </c>
    </row>
    <row r="256" spans="1:18" ht="32.1" hidden="1" customHeight="1">
      <c r="A256" s="46">
        <v>16</v>
      </c>
      <c r="B256" s="45" t="s">
        <v>177</v>
      </c>
      <c r="C256" s="45" t="s">
        <v>31</v>
      </c>
      <c r="D256" s="45" t="s">
        <v>178</v>
      </c>
      <c r="E256" s="45" t="s">
        <v>838</v>
      </c>
      <c r="F256" s="46" t="s">
        <v>798</v>
      </c>
      <c r="G256" s="46">
        <v>0</v>
      </c>
      <c r="H256" s="46">
        <v>1</v>
      </c>
      <c r="I256" s="46" t="s">
        <v>780</v>
      </c>
      <c r="J256" s="45" t="s">
        <v>1001</v>
      </c>
      <c r="K256" s="46" t="s">
        <v>831</v>
      </c>
      <c r="L256" s="45" t="s">
        <v>1168</v>
      </c>
      <c r="M256" s="46">
        <v>377</v>
      </c>
      <c r="N256" s="46" t="s">
        <v>1154</v>
      </c>
      <c r="O256" s="46">
        <v>1</v>
      </c>
      <c r="P256" s="45" t="s">
        <v>1169</v>
      </c>
      <c r="Q256" s="47" t="s">
        <v>776</v>
      </c>
      <c r="R256" s="45" t="s">
        <v>784</v>
      </c>
    </row>
    <row r="257" spans="1:18" ht="32.1" hidden="1" customHeight="1">
      <c r="A257" s="46">
        <v>17</v>
      </c>
      <c r="B257" s="45" t="s">
        <v>185</v>
      </c>
      <c r="C257" s="45" t="s">
        <v>31</v>
      </c>
      <c r="D257" s="45" t="s">
        <v>186</v>
      </c>
      <c r="E257" s="45" t="s">
        <v>838</v>
      </c>
      <c r="F257" s="46" t="s">
        <v>770</v>
      </c>
      <c r="G257" s="46">
        <v>0</v>
      </c>
      <c r="H257" s="46">
        <v>1</v>
      </c>
      <c r="I257" s="46" t="s">
        <v>780</v>
      </c>
      <c r="J257" s="45" t="s">
        <v>1170</v>
      </c>
      <c r="K257" s="46" t="s">
        <v>831</v>
      </c>
      <c r="L257" s="45" t="s">
        <v>1171</v>
      </c>
      <c r="M257" s="46">
        <v>205</v>
      </c>
      <c r="N257" s="46" t="s">
        <v>1104</v>
      </c>
      <c r="O257" s="46">
        <v>1</v>
      </c>
      <c r="P257" s="45" t="s">
        <v>1172</v>
      </c>
      <c r="Q257" s="47" t="s">
        <v>776</v>
      </c>
      <c r="R257" s="45" t="s">
        <v>784</v>
      </c>
    </row>
    <row r="258" spans="1:18" ht="32.1" hidden="1" customHeight="1">
      <c r="A258" s="46">
        <v>17</v>
      </c>
      <c r="B258" s="45" t="s">
        <v>185</v>
      </c>
      <c r="C258" s="45" t="s">
        <v>31</v>
      </c>
      <c r="D258" s="45" t="s">
        <v>186</v>
      </c>
      <c r="E258" s="45" t="s">
        <v>838</v>
      </c>
      <c r="F258" s="46" t="s">
        <v>842</v>
      </c>
      <c r="G258" s="46">
        <v>0</v>
      </c>
      <c r="H258" s="46">
        <v>1</v>
      </c>
      <c r="I258" s="46" t="s">
        <v>780</v>
      </c>
      <c r="J258" s="45" t="s">
        <v>1001</v>
      </c>
      <c r="K258" s="46" t="s">
        <v>826</v>
      </c>
      <c r="L258" s="45" t="s">
        <v>1171</v>
      </c>
      <c r="M258" s="46">
        <v>206</v>
      </c>
      <c r="N258" s="46" t="s">
        <v>1088</v>
      </c>
      <c r="O258" s="46">
        <v>1</v>
      </c>
      <c r="P258" s="45" t="s">
        <v>1172</v>
      </c>
      <c r="Q258" s="47" t="s">
        <v>776</v>
      </c>
      <c r="R258" s="45" t="s">
        <v>784</v>
      </c>
    </row>
    <row r="259" spans="1:18" ht="32.1" hidden="1" customHeight="1">
      <c r="A259" s="46">
        <v>17</v>
      </c>
      <c r="B259" s="45" t="s">
        <v>185</v>
      </c>
      <c r="C259" s="45" t="s">
        <v>31</v>
      </c>
      <c r="D259" s="45" t="s">
        <v>186</v>
      </c>
      <c r="E259" s="45" t="s">
        <v>838</v>
      </c>
      <c r="F259" s="46" t="s">
        <v>809</v>
      </c>
      <c r="G259" s="46">
        <v>0</v>
      </c>
      <c r="H259" s="46">
        <v>1</v>
      </c>
      <c r="I259" s="46" t="s">
        <v>780</v>
      </c>
      <c r="J259" s="45" t="s">
        <v>1001</v>
      </c>
      <c r="K259" s="46" t="s">
        <v>806</v>
      </c>
      <c r="L259" s="45" t="s">
        <v>1171</v>
      </c>
      <c r="M259" s="46">
        <v>207</v>
      </c>
      <c r="N259" s="46" t="s">
        <v>1106</v>
      </c>
      <c r="O259" s="46">
        <v>1</v>
      </c>
      <c r="P259" s="45" t="s">
        <v>1172</v>
      </c>
      <c r="Q259" s="47" t="s">
        <v>776</v>
      </c>
      <c r="R259" s="45" t="s">
        <v>784</v>
      </c>
    </row>
    <row r="260" spans="1:18" ht="32.1" hidden="1" customHeight="1">
      <c r="A260" s="46">
        <v>17</v>
      </c>
      <c r="B260" s="45" t="s">
        <v>185</v>
      </c>
      <c r="C260" s="45" t="s">
        <v>31</v>
      </c>
      <c r="D260" s="45" t="s">
        <v>186</v>
      </c>
      <c r="E260" s="45" t="s">
        <v>838</v>
      </c>
      <c r="F260" s="46" t="s">
        <v>848</v>
      </c>
      <c r="G260" s="46">
        <v>0</v>
      </c>
      <c r="H260" s="46">
        <v>1</v>
      </c>
      <c r="I260" s="46" t="s">
        <v>780</v>
      </c>
      <c r="J260" s="45" t="s">
        <v>1001</v>
      </c>
      <c r="K260" s="46" t="s">
        <v>831</v>
      </c>
      <c r="L260" s="45" t="s">
        <v>1171</v>
      </c>
      <c r="M260" s="46">
        <v>208</v>
      </c>
      <c r="N260" s="46" t="s">
        <v>1154</v>
      </c>
      <c r="O260" s="46">
        <v>1</v>
      </c>
      <c r="P260" s="45" t="s">
        <v>1172</v>
      </c>
      <c r="Q260" s="47" t="s">
        <v>776</v>
      </c>
      <c r="R260" s="45" t="s">
        <v>784</v>
      </c>
    </row>
    <row r="261" spans="1:18" ht="32.1" hidden="1" customHeight="1">
      <c r="A261" s="46">
        <v>17</v>
      </c>
      <c r="B261" s="45" t="s">
        <v>185</v>
      </c>
      <c r="C261" s="45" t="s">
        <v>31</v>
      </c>
      <c r="D261" s="45" t="s">
        <v>186</v>
      </c>
      <c r="E261" s="45" t="s">
        <v>838</v>
      </c>
      <c r="F261" s="46" t="s">
        <v>836</v>
      </c>
      <c r="G261" s="46">
        <v>0</v>
      </c>
      <c r="H261" s="46">
        <v>1</v>
      </c>
      <c r="I261" s="46" t="s">
        <v>780</v>
      </c>
      <c r="J261" s="45" t="s">
        <v>1001</v>
      </c>
      <c r="K261" s="46" t="s">
        <v>833</v>
      </c>
      <c r="L261" s="45" t="s">
        <v>1171</v>
      </c>
      <c r="M261" s="46">
        <v>209</v>
      </c>
      <c r="N261" s="46" t="s">
        <v>1156</v>
      </c>
      <c r="O261" s="46">
        <v>1</v>
      </c>
      <c r="P261" s="45" t="s">
        <v>1172</v>
      </c>
      <c r="Q261" s="47" t="s">
        <v>776</v>
      </c>
      <c r="R261" s="45" t="s">
        <v>784</v>
      </c>
    </row>
    <row r="262" spans="1:18" ht="32.1" hidden="1" customHeight="1">
      <c r="A262" s="46">
        <v>17</v>
      </c>
      <c r="B262" s="45" t="s">
        <v>185</v>
      </c>
      <c r="C262" s="45" t="s">
        <v>31</v>
      </c>
      <c r="D262" s="45" t="s">
        <v>186</v>
      </c>
      <c r="E262" s="45" t="s">
        <v>838</v>
      </c>
      <c r="F262" s="46" t="s">
        <v>798</v>
      </c>
      <c r="G262" s="46">
        <v>0</v>
      </c>
      <c r="H262" s="46">
        <v>1</v>
      </c>
      <c r="I262" s="46" t="s">
        <v>780</v>
      </c>
      <c r="J262" s="45" t="s">
        <v>1001</v>
      </c>
      <c r="K262" s="46" t="s">
        <v>865</v>
      </c>
      <c r="L262" s="45" t="s">
        <v>1171</v>
      </c>
      <c r="M262" s="46">
        <v>210</v>
      </c>
      <c r="N262" s="46" t="s">
        <v>1107</v>
      </c>
      <c r="O262" s="46">
        <v>1</v>
      </c>
      <c r="P262" s="45" t="s">
        <v>1172</v>
      </c>
      <c r="Q262" s="47" t="s">
        <v>776</v>
      </c>
      <c r="R262" s="45" t="s">
        <v>784</v>
      </c>
    </row>
    <row r="263" spans="1:18" ht="32.1" hidden="1" customHeight="1">
      <c r="A263" s="46">
        <v>17</v>
      </c>
      <c r="B263" s="45" t="s">
        <v>185</v>
      </c>
      <c r="C263" s="45" t="s">
        <v>31</v>
      </c>
      <c r="D263" s="45" t="s">
        <v>186</v>
      </c>
      <c r="E263" s="45" t="s">
        <v>838</v>
      </c>
      <c r="F263" s="46" t="s">
        <v>786</v>
      </c>
      <c r="G263" s="46">
        <v>0</v>
      </c>
      <c r="H263" s="46">
        <v>1</v>
      </c>
      <c r="I263" s="46" t="s">
        <v>780</v>
      </c>
      <c r="J263" s="45" t="s">
        <v>1094</v>
      </c>
      <c r="K263" s="46" t="s">
        <v>791</v>
      </c>
      <c r="L263" s="45" t="s">
        <v>1171</v>
      </c>
      <c r="M263" s="46">
        <v>211</v>
      </c>
      <c r="N263" s="46" t="s">
        <v>1095</v>
      </c>
      <c r="O263" s="46">
        <v>1</v>
      </c>
      <c r="P263" s="45" t="s">
        <v>1172</v>
      </c>
      <c r="Q263" s="47" t="s">
        <v>776</v>
      </c>
      <c r="R263" s="45" t="s">
        <v>784</v>
      </c>
    </row>
    <row r="264" spans="1:18" ht="32.1" hidden="1" customHeight="1">
      <c r="A264" s="46">
        <v>17</v>
      </c>
      <c r="B264" s="45" t="s">
        <v>185</v>
      </c>
      <c r="C264" s="45" t="s">
        <v>31</v>
      </c>
      <c r="D264" s="45" t="s">
        <v>186</v>
      </c>
      <c r="E264" s="45" t="s">
        <v>838</v>
      </c>
      <c r="F264" s="46" t="s">
        <v>802</v>
      </c>
      <c r="G264" s="46">
        <v>0</v>
      </c>
      <c r="H264" s="46">
        <v>1</v>
      </c>
      <c r="I264" s="46" t="s">
        <v>780</v>
      </c>
      <c r="J264" s="45" t="s">
        <v>1170</v>
      </c>
      <c r="K264" s="46" t="s">
        <v>831</v>
      </c>
      <c r="L264" s="45" t="s">
        <v>1171</v>
      </c>
      <c r="M264" s="46">
        <v>212</v>
      </c>
      <c r="N264" s="46" t="s">
        <v>1104</v>
      </c>
      <c r="O264" s="46">
        <v>1</v>
      </c>
      <c r="P264" s="45" t="s">
        <v>1172</v>
      </c>
      <c r="Q264" s="47" t="s">
        <v>776</v>
      </c>
      <c r="R264" s="45" t="s">
        <v>784</v>
      </c>
    </row>
    <row r="265" spans="1:18" ht="32.1" hidden="1" customHeight="1">
      <c r="A265" s="46">
        <v>18</v>
      </c>
      <c r="B265" s="45" t="s">
        <v>193</v>
      </c>
      <c r="C265" s="45" t="s">
        <v>31</v>
      </c>
      <c r="D265" s="45" t="s">
        <v>194</v>
      </c>
      <c r="E265" s="45" t="s">
        <v>1173</v>
      </c>
      <c r="F265" s="46" t="s">
        <v>770</v>
      </c>
      <c r="G265" s="46">
        <v>65</v>
      </c>
      <c r="H265" s="46">
        <v>1</v>
      </c>
      <c r="I265" s="46" t="s">
        <v>780</v>
      </c>
      <c r="J265" s="45" t="s">
        <v>1174</v>
      </c>
      <c r="K265" s="46" t="s">
        <v>826</v>
      </c>
      <c r="L265" s="45" t="s">
        <v>1175</v>
      </c>
      <c r="M265" s="46">
        <v>252</v>
      </c>
      <c r="N265" s="46" t="s">
        <v>1176</v>
      </c>
      <c r="O265" s="46">
        <v>1</v>
      </c>
      <c r="P265" s="45" t="s">
        <v>1177</v>
      </c>
      <c r="Q265" s="47" t="s">
        <v>776</v>
      </c>
      <c r="R265" s="45" t="s">
        <v>784</v>
      </c>
    </row>
    <row r="266" spans="1:18" ht="32.1" hidden="1" customHeight="1">
      <c r="A266" s="46">
        <v>18</v>
      </c>
      <c r="B266" s="45" t="s">
        <v>193</v>
      </c>
      <c r="C266" s="45" t="s">
        <v>31</v>
      </c>
      <c r="D266" s="45" t="s">
        <v>194</v>
      </c>
      <c r="E266" s="45" t="s">
        <v>1178</v>
      </c>
      <c r="F266" s="46" t="s">
        <v>842</v>
      </c>
      <c r="G266" s="46">
        <v>354</v>
      </c>
      <c r="H266" s="46">
        <v>1</v>
      </c>
      <c r="I266" s="46" t="s">
        <v>780</v>
      </c>
      <c r="J266" s="45" t="s">
        <v>1179</v>
      </c>
      <c r="K266" s="46" t="s">
        <v>865</v>
      </c>
      <c r="L266" s="45" t="s">
        <v>1175</v>
      </c>
      <c r="M266" s="46">
        <v>261</v>
      </c>
      <c r="N266" s="46" t="s">
        <v>1180</v>
      </c>
      <c r="O266" s="46">
        <v>1</v>
      </c>
      <c r="P266" s="45" t="s">
        <v>1177</v>
      </c>
      <c r="Q266" s="47" t="s">
        <v>776</v>
      </c>
      <c r="R266" s="45" t="s">
        <v>784</v>
      </c>
    </row>
    <row r="267" spans="1:18" ht="32.1" hidden="1" customHeight="1">
      <c r="A267" s="46">
        <v>18</v>
      </c>
      <c r="B267" s="45" t="s">
        <v>193</v>
      </c>
      <c r="C267" s="45" t="s">
        <v>31</v>
      </c>
      <c r="D267" s="45" t="s">
        <v>194</v>
      </c>
      <c r="E267" s="45" t="s">
        <v>1181</v>
      </c>
      <c r="F267" s="46" t="s">
        <v>809</v>
      </c>
      <c r="G267" s="46">
        <v>19</v>
      </c>
      <c r="H267" s="46">
        <v>1</v>
      </c>
      <c r="I267" s="46" t="s">
        <v>780</v>
      </c>
      <c r="J267" s="45" t="s">
        <v>1001</v>
      </c>
      <c r="K267" s="46" t="s">
        <v>806</v>
      </c>
      <c r="L267" s="45" t="s">
        <v>1175</v>
      </c>
      <c r="M267" s="46">
        <v>262</v>
      </c>
      <c r="N267" s="46" t="s">
        <v>1106</v>
      </c>
      <c r="O267" s="46">
        <v>1</v>
      </c>
      <c r="P267" s="45" t="s">
        <v>1177</v>
      </c>
      <c r="Q267" s="47" t="s">
        <v>776</v>
      </c>
      <c r="R267" s="45" t="s">
        <v>784</v>
      </c>
    </row>
    <row r="268" spans="1:18" ht="32.1" hidden="1" customHeight="1">
      <c r="A268" s="46">
        <v>18</v>
      </c>
      <c r="B268" s="45" t="s">
        <v>193</v>
      </c>
      <c r="C268" s="45" t="s">
        <v>31</v>
      </c>
      <c r="D268" s="45" t="s">
        <v>194</v>
      </c>
      <c r="E268" s="45" t="s">
        <v>1182</v>
      </c>
      <c r="F268" s="46" t="s">
        <v>848</v>
      </c>
      <c r="G268" s="46">
        <v>115</v>
      </c>
      <c r="H268" s="46">
        <v>1</v>
      </c>
      <c r="I268" s="46" t="s">
        <v>843</v>
      </c>
      <c r="J268" s="45" t="s">
        <v>1183</v>
      </c>
      <c r="K268" s="46"/>
      <c r="L268" s="45" t="s">
        <v>1175</v>
      </c>
      <c r="M268" s="46">
        <v>263</v>
      </c>
      <c r="N268" s="46" t="s">
        <v>845</v>
      </c>
      <c r="O268" s="46">
        <v>1</v>
      </c>
      <c r="P268" s="45" t="s">
        <v>1177</v>
      </c>
      <c r="Q268" s="47" t="s">
        <v>776</v>
      </c>
      <c r="R268" s="45" t="s">
        <v>784</v>
      </c>
    </row>
    <row r="269" spans="1:18" ht="32.1" hidden="1" customHeight="1">
      <c r="A269" s="46">
        <v>18</v>
      </c>
      <c r="B269" s="45" t="s">
        <v>193</v>
      </c>
      <c r="C269" s="45" t="s">
        <v>31</v>
      </c>
      <c r="D269" s="45" t="s">
        <v>194</v>
      </c>
      <c r="E269" s="45" t="s">
        <v>1184</v>
      </c>
      <c r="F269" s="46" t="s">
        <v>836</v>
      </c>
      <c r="G269" s="46">
        <v>8</v>
      </c>
      <c r="H269" s="46">
        <v>1</v>
      </c>
      <c r="I269" s="46" t="s">
        <v>780</v>
      </c>
      <c r="J269" s="45" t="s">
        <v>1185</v>
      </c>
      <c r="K269" s="46" t="s">
        <v>815</v>
      </c>
      <c r="L269" s="45" t="s">
        <v>1175</v>
      </c>
      <c r="M269" s="46">
        <v>264</v>
      </c>
      <c r="N269" s="46" t="s">
        <v>1186</v>
      </c>
      <c r="O269" s="46">
        <v>1</v>
      </c>
      <c r="P269" s="45" t="s">
        <v>1177</v>
      </c>
      <c r="Q269" s="47" t="s">
        <v>776</v>
      </c>
      <c r="R269" s="45" t="s">
        <v>784</v>
      </c>
    </row>
    <row r="270" spans="1:18" ht="32.1" hidden="1" customHeight="1">
      <c r="A270" s="46">
        <v>18</v>
      </c>
      <c r="B270" s="45" t="s">
        <v>193</v>
      </c>
      <c r="C270" s="45" t="s">
        <v>31</v>
      </c>
      <c r="D270" s="45" t="s">
        <v>194</v>
      </c>
      <c r="E270" s="45" t="s">
        <v>1187</v>
      </c>
      <c r="F270" s="46" t="s">
        <v>798</v>
      </c>
      <c r="G270" s="46">
        <v>380</v>
      </c>
      <c r="H270" s="46">
        <v>1</v>
      </c>
      <c r="I270" s="46" t="s">
        <v>780</v>
      </c>
      <c r="J270" s="45" t="s">
        <v>1188</v>
      </c>
      <c r="K270" s="46" t="s">
        <v>791</v>
      </c>
      <c r="L270" s="45" t="s">
        <v>1175</v>
      </c>
      <c r="M270" s="46">
        <v>265</v>
      </c>
      <c r="N270" s="46" t="s">
        <v>1189</v>
      </c>
      <c r="O270" s="46">
        <v>1</v>
      </c>
      <c r="P270" s="45" t="s">
        <v>1177</v>
      </c>
      <c r="Q270" s="47" t="s">
        <v>776</v>
      </c>
      <c r="R270" s="45" t="s">
        <v>784</v>
      </c>
    </row>
    <row r="271" spans="1:18" ht="32.1" hidden="1" customHeight="1">
      <c r="A271" s="46">
        <v>19</v>
      </c>
      <c r="B271" s="45" t="s">
        <v>201</v>
      </c>
      <c r="C271" s="45" t="s">
        <v>33</v>
      </c>
      <c r="D271" s="45" t="s">
        <v>202</v>
      </c>
      <c r="E271" s="45" t="s">
        <v>1190</v>
      </c>
      <c r="F271" s="46" t="s">
        <v>770</v>
      </c>
      <c r="G271" s="46">
        <v>1992</v>
      </c>
      <c r="H271" s="46">
        <v>1</v>
      </c>
      <c r="I271" s="46" t="s">
        <v>780</v>
      </c>
      <c r="J271" s="45" t="s">
        <v>1170</v>
      </c>
      <c r="K271" s="46" t="s">
        <v>806</v>
      </c>
      <c r="L271" s="45" t="s">
        <v>1191</v>
      </c>
      <c r="M271" s="46">
        <v>1394</v>
      </c>
      <c r="N271" s="46" t="s">
        <v>1192</v>
      </c>
      <c r="O271" s="46">
        <v>1</v>
      </c>
      <c r="P271" s="45" t="s">
        <v>1193</v>
      </c>
      <c r="Q271" s="47" t="s">
        <v>776</v>
      </c>
      <c r="R271" s="45" t="s">
        <v>784</v>
      </c>
    </row>
    <row r="272" spans="1:18" ht="32.1" hidden="1" customHeight="1">
      <c r="A272" s="46">
        <v>19</v>
      </c>
      <c r="B272" s="45" t="s">
        <v>201</v>
      </c>
      <c r="C272" s="45" t="s">
        <v>33</v>
      </c>
      <c r="D272" s="45" t="s">
        <v>202</v>
      </c>
      <c r="E272" s="45" t="s">
        <v>1194</v>
      </c>
      <c r="F272" s="46" t="s">
        <v>842</v>
      </c>
      <c r="G272" s="46">
        <v>1702</v>
      </c>
      <c r="H272" s="46">
        <v>1</v>
      </c>
      <c r="I272" s="46" t="s">
        <v>780</v>
      </c>
      <c r="J272" s="45" t="s">
        <v>1170</v>
      </c>
      <c r="K272" s="46" t="s">
        <v>829</v>
      </c>
      <c r="L272" s="45" t="s">
        <v>1191</v>
      </c>
      <c r="M272" s="46">
        <v>1395</v>
      </c>
      <c r="N272" s="46" t="s">
        <v>1102</v>
      </c>
      <c r="O272" s="46">
        <v>1</v>
      </c>
      <c r="P272" s="45" t="s">
        <v>1193</v>
      </c>
      <c r="Q272" s="47" t="s">
        <v>776</v>
      </c>
      <c r="R272" s="45" t="s">
        <v>784</v>
      </c>
    </row>
    <row r="273" spans="1:18" ht="32.1" hidden="1" customHeight="1">
      <c r="A273" s="46">
        <v>19</v>
      </c>
      <c r="B273" s="45" t="s">
        <v>201</v>
      </c>
      <c r="C273" s="45" t="s">
        <v>33</v>
      </c>
      <c r="D273" s="45" t="s">
        <v>202</v>
      </c>
      <c r="E273" s="45" t="s">
        <v>1195</v>
      </c>
      <c r="F273" s="46" t="s">
        <v>809</v>
      </c>
      <c r="G273" s="46">
        <v>1422</v>
      </c>
      <c r="H273" s="46">
        <v>1</v>
      </c>
      <c r="I273" s="46" t="s">
        <v>780</v>
      </c>
      <c r="J273" s="45" t="s">
        <v>1170</v>
      </c>
      <c r="K273" s="46" t="s">
        <v>831</v>
      </c>
      <c r="L273" s="45" t="s">
        <v>1191</v>
      </c>
      <c r="M273" s="46">
        <v>1396</v>
      </c>
      <c r="N273" s="46" t="s">
        <v>1104</v>
      </c>
      <c r="O273" s="46">
        <v>1</v>
      </c>
      <c r="P273" s="45" t="s">
        <v>1193</v>
      </c>
      <c r="Q273" s="47" t="s">
        <v>776</v>
      </c>
      <c r="R273" s="45" t="s">
        <v>784</v>
      </c>
    </row>
    <row r="274" spans="1:18" ht="32.1" hidden="1" customHeight="1">
      <c r="A274" s="46">
        <v>19</v>
      </c>
      <c r="B274" s="45" t="s">
        <v>201</v>
      </c>
      <c r="C274" s="45" t="s">
        <v>33</v>
      </c>
      <c r="D274" s="45" t="s">
        <v>202</v>
      </c>
      <c r="E274" s="45" t="s">
        <v>1196</v>
      </c>
      <c r="F274" s="46" t="s">
        <v>848</v>
      </c>
      <c r="G274" s="46">
        <v>164</v>
      </c>
      <c r="H274" s="46">
        <v>1</v>
      </c>
      <c r="I274" s="46" t="s">
        <v>780</v>
      </c>
      <c r="J274" s="45" t="s">
        <v>1001</v>
      </c>
      <c r="K274" s="46" t="s">
        <v>826</v>
      </c>
      <c r="L274" s="45" t="s">
        <v>1191</v>
      </c>
      <c r="M274" s="46">
        <v>1397</v>
      </c>
      <c r="N274" s="46" t="s">
        <v>1088</v>
      </c>
      <c r="O274" s="46">
        <v>1</v>
      </c>
      <c r="P274" s="45" t="s">
        <v>1193</v>
      </c>
      <c r="Q274" s="47" t="s">
        <v>776</v>
      </c>
      <c r="R274" s="45" t="s">
        <v>784</v>
      </c>
    </row>
    <row r="275" spans="1:18" ht="32.1" hidden="1" customHeight="1">
      <c r="A275" s="46">
        <v>19</v>
      </c>
      <c r="B275" s="45" t="s">
        <v>201</v>
      </c>
      <c r="C275" s="45" t="s">
        <v>33</v>
      </c>
      <c r="D275" s="45" t="s">
        <v>202</v>
      </c>
      <c r="E275" s="45" t="s">
        <v>1197</v>
      </c>
      <c r="F275" s="46" t="s">
        <v>836</v>
      </c>
      <c r="G275" s="46">
        <v>111</v>
      </c>
      <c r="H275" s="46">
        <v>1</v>
      </c>
      <c r="I275" s="46" t="s">
        <v>780</v>
      </c>
      <c r="J275" s="45" t="s">
        <v>1001</v>
      </c>
      <c r="K275" s="46" t="s">
        <v>806</v>
      </c>
      <c r="L275" s="45" t="s">
        <v>1191</v>
      </c>
      <c r="M275" s="46">
        <v>1398</v>
      </c>
      <c r="N275" s="46" t="s">
        <v>1106</v>
      </c>
      <c r="O275" s="46">
        <v>1</v>
      </c>
      <c r="P275" s="45" t="s">
        <v>1193</v>
      </c>
      <c r="Q275" s="47" t="s">
        <v>776</v>
      </c>
      <c r="R275" s="45" t="s">
        <v>784</v>
      </c>
    </row>
    <row r="276" spans="1:18" ht="32.1" hidden="1" customHeight="1">
      <c r="A276" s="46">
        <v>19</v>
      </c>
      <c r="B276" s="45" t="s">
        <v>201</v>
      </c>
      <c r="C276" s="45" t="s">
        <v>33</v>
      </c>
      <c r="D276" s="45" t="s">
        <v>202</v>
      </c>
      <c r="E276" s="45" t="s">
        <v>1198</v>
      </c>
      <c r="F276" s="46" t="s">
        <v>798</v>
      </c>
      <c r="G276" s="46">
        <v>80</v>
      </c>
      <c r="H276" s="46">
        <v>1</v>
      </c>
      <c r="I276" s="46" t="s">
        <v>780</v>
      </c>
      <c r="J276" s="45" t="s">
        <v>1001</v>
      </c>
      <c r="K276" s="46" t="s">
        <v>865</v>
      </c>
      <c r="L276" s="45" t="s">
        <v>1191</v>
      </c>
      <c r="M276" s="46">
        <v>1399</v>
      </c>
      <c r="N276" s="46" t="s">
        <v>1107</v>
      </c>
      <c r="O276" s="46">
        <v>1</v>
      </c>
      <c r="P276" s="45" t="s">
        <v>1193</v>
      </c>
      <c r="Q276" s="47" t="s">
        <v>776</v>
      </c>
      <c r="R276" s="45" t="s">
        <v>784</v>
      </c>
    </row>
    <row r="277" spans="1:18" ht="32.1" hidden="1" customHeight="1">
      <c r="A277" s="46">
        <v>19</v>
      </c>
      <c r="B277" s="45" t="s">
        <v>201</v>
      </c>
      <c r="C277" s="45" t="s">
        <v>33</v>
      </c>
      <c r="D277" s="45" t="s">
        <v>202</v>
      </c>
      <c r="E277" s="45" t="s">
        <v>1199</v>
      </c>
      <c r="F277" s="46" t="s">
        <v>786</v>
      </c>
      <c r="G277" s="46">
        <v>1632</v>
      </c>
      <c r="H277" s="46">
        <v>1</v>
      </c>
      <c r="I277" s="46" t="s">
        <v>780</v>
      </c>
      <c r="J277" s="45" t="s">
        <v>1094</v>
      </c>
      <c r="K277" s="46" t="s">
        <v>791</v>
      </c>
      <c r="L277" s="45" t="s">
        <v>1191</v>
      </c>
      <c r="M277" s="46">
        <v>1400</v>
      </c>
      <c r="N277" s="46" t="s">
        <v>1095</v>
      </c>
      <c r="O277" s="46">
        <v>1</v>
      </c>
      <c r="P277" s="45" t="s">
        <v>1193</v>
      </c>
      <c r="Q277" s="47" t="s">
        <v>776</v>
      </c>
      <c r="R277" s="45" t="s">
        <v>784</v>
      </c>
    </row>
    <row r="278" spans="1:18" ht="32.1" hidden="1" customHeight="1">
      <c r="A278" s="46">
        <v>19</v>
      </c>
      <c r="B278" s="45" t="s">
        <v>201</v>
      </c>
      <c r="C278" s="45" t="s">
        <v>33</v>
      </c>
      <c r="D278" s="45" t="s">
        <v>202</v>
      </c>
      <c r="E278" s="45" t="s">
        <v>1096</v>
      </c>
      <c r="F278" s="46" t="s">
        <v>802</v>
      </c>
      <c r="G278" s="46">
        <v>8</v>
      </c>
      <c r="H278" s="46">
        <v>1</v>
      </c>
      <c r="I278" s="46" t="s">
        <v>780</v>
      </c>
      <c r="J278" s="45" t="s">
        <v>1170</v>
      </c>
      <c r="K278" s="46" t="s">
        <v>831</v>
      </c>
      <c r="L278" s="45" t="s">
        <v>1191</v>
      </c>
      <c r="M278" s="46">
        <v>1401</v>
      </c>
      <c r="N278" s="46" t="s">
        <v>1104</v>
      </c>
      <c r="O278" s="46">
        <v>1</v>
      </c>
      <c r="P278" s="45" t="s">
        <v>1193</v>
      </c>
      <c r="Q278" s="47" t="s">
        <v>776</v>
      </c>
      <c r="R278" s="45" t="s">
        <v>784</v>
      </c>
    </row>
    <row r="279" spans="1:18" ht="32.1" hidden="1" customHeight="1">
      <c r="A279" s="46">
        <v>19</v>
      </c>
      <c r="B279" s="45" t="s">
        <v>201</v>
      </c>
      <c r="C279" s="45" t="s">
        <v>33</v>
      </c>
      <c r="D279" s="45" t="s">
        <v>202</v>
      </c>
      <c r="E279" s="45" t="s">
        <v>1035</v>
      </c>
      <c r="F279" s="46" t="s">
        <v>794</v>
      </c>
      <c r="G279" s="46">
        <v>1</v>
      </c>
      <c r="H279" s="46">
        <v>1</v>
      </c>
      <c r="I279" s="46" t="s">
        <v>780</v>
      </c>
      <c r="J279" s="45" t="s">
        <v>1170</v>
      </c>
      <c r="K279" s="46" t="s">
        <v>831</v>
      </c>
      <c r="L279" s="45" t="s">
        <v>1191</v>
      </c>
      <c r="M279" s="46">
        <v>1410</v>
      </c>
      <c r="N279" s="46" t="s">
        <v>1104</v>
      </c>
      <c r="O279" s="46">
        <v>1</v>
      </c>
      <c r="P279" s="45" t="s">
        <v>1193</v>
      </c>
      <c r="Q279" s="47" t="s">
        <v>776</v>
      </c>
      <c r="R279" s="45" t="s">
        <v>784</v>
      </c>
    </row>
    <row r="280" spans="1:18" ht="32.1" hidden="1" customHeight="1">
      <c r="A280" s="46">
        <v>19</v>
      </c>
      <c r="B280" s="45" t="s">
        <v>201</v>
      </c>
      <c r="C280" s="45" t="s">
        <v>33</v>
      </c>
      <c r="D280" s="45" t="s">
        <v>202</v>
      </c>
      <c r="E280" s="45" t="s">
        <v>1075</v>
      </c>
      <c r="F280" s="46" t="s">
        <v>804</v>
      </c>
      <c r="G280" s="46">
        <v>2</v>
      </c>
      <c r="H280" s="46">
        <v>1</v>
      </c>
      <c r="I280" s="46" t="s">
        <v>780</v>
      </c>
      <c r="J280" s="45" t="s">
        <v>1170</v>
      </c>
      <c r="K280" s="46" t="s">
        <v>831</v>
      </c>
      <c r="L280" s="45" t="s">
        <v>1191</v>
      </c>
      <c r="M280" s="46">
        <v>1420</v>
      </c>
      <c r="N280" s="46" t="s">
        <v>1104</v>
      </c>
      <c r="O280" s="46">
        <v>1</v>
      </c>
      <c r="P280" s="45" t="s">
        <v>1193</v>
      </c>
      <c r="Q280" s="47" t="s">
        <v>776</v>
      </c>
      <c r="R280" s="45" t="s">
        <v>784</v>
      </c>
    </row>
    <row r="281" spans="1:18" ht="32.1" hidden="1" customHeight="1">
      <c r="A281" s="46">
        <v>19</v>
      </c>
      <c r="B281" s="45" t="s">
        <v>201</v>
      </c>
      <c r="C281" s="45" t="s">
        <v>33</v>
      </c>
      <c r="D281" s="45" t="s">
        <v>202</v>
      </c>
      <c r="E281" s="45" t="s">
        <v>1035</v>
      </c>
      <c r="F281" s="46" t="s">
        <v>879</v>
      </c>
      <c r="G281" s="46">
        <v>1</v>
      </c>
      <c r="H281" s="46">
        <v>1</v>
      </c>
      <c r="I281" s="46" t="s">
        <v>780</v>
      </c>
      <c r="J281" s="45" t="s">
        <v>1170</v>
      </c>
      <c r="K281" s="46" t="s">
        <v>831</v>
      </c>
      <c r="L281" s="45" t="s">
        <v>1191</v>
      </c>
      <c r="M281" s="46">
        <v>1429</v>
      </c>
      <c r="N281" s="46" t="s">
        <v>1104</v>
      </c>
      <c r="O281" s="46">
        <v>1</v>
      </c>
      <c r="P281" s="45" t="s">
        <v>1193</v>
      </c>
      <c r="Q281" s="47" t="s">
        <v>776</v>
      </c>
      <c r="R281" s="45" t="s">
        <v>784</v>
      </c>
    </row>
    <row r="282" spans="1:18" ht="32.1" hidden="1" customHeight="1">
      <c r="A282" s="46">
        <v>19</v>
      </c>
      <c r="B282" s="45" t="s">
        <v>201</v>
      </c>
      <c r="C282" s="45" t="s">
        <v>33</v>
      </c>
      <c r="D282" s="45" t="s">
        <v>202</v>
      </c>
      <c r="E282" s="45" t="s">
        <v>1200</v>
      </c>
      <c r="F282" s="46" t="s">
        <v>1201</v>
      </c>
      <c r="G282" s="46">
        <v>48</v>
      </c>
      <c r="H282" s="46">
        <v>1</v>
      </c>
      <c r="I282" s="46" t="s">
        <v>780</v>
      </c>
      <c r="J282" s="45" t="s">
        <v>1202</v>
      </c>
      <c r="K282" s="46" t="s">
        <v>791</v>
      </c>
      <c r="L282" s="45" t="s">
        <v>1191</v>
      </c>
      <c r="M282" s="46">
        <v>1439</v>
      </c>
      <c r="N282" s="46" t="s">
        <v>1203</v>
      </c>
      <c r="O282" s="46">
        <v>1</v>
      </c>
      <c r="P282" s="45" t="s">
        <v>1193</v>
      </c>
      <c r="Q282" s="47" t="s">
        <v>776</v>
      </c>
      <c r="R282" s="45" t="s">
        <v>784</v>
      </c>
    </row>
    <row r="283" spans="1:18" ht="32.1" hidden="1" customHeight="1">
      <c r="A283" s="46">
        <v>19</v>
      </c>
      <c r="B283" s="45" t="s">
        <v>201</v>
      </c>
      <c r="C283" s="45" t="s">
        <v>33</v>
      </c>
      <c r="D283" s="45" t="s">
        <v>202</v>
      </c>
      <c r="E283" s="45" t="s">
        <v>1200</v>
      </c>
      <c r="F283" s="46" t="s">
        <v>1201</v>
      </c>
      <c r="G283" s="46">
        <v>48</v>
      </c>
      <c r="H283" s="46">
        <v>2</v>
      </c>
      <c r="I283" s="46" t="s">
        <v>780</v>
      </c>
      <c r="J283" s="45" t="s">
        <v>1202</v>
      </c>
      <c r="K283" s="46" t="s">
        <v>782</v>
      </c>
      <c r="L283" s="45" t="s">
        <v>1191</v>
      </c>
      <c r="M283" s="46">
        <v>1439</v>
      </c>
      <c r="N283" s="46" t="s">
        <v>1204</v>
      </c>
      <c r="O283" s="46">
        <v>1</v>
      </c>
      <c r="P283" s="45" t="s">
        <v>1193</v>
      </c>
      <c r="Q283" s="47" t="s">
        <v>776</v>
      </c>
      <c r="R283" s="45" t="s">
        <v>784</v>
      </c>
    </row>
    <row r="284" spans="1:18" ht="32.1" hidden="1" customHeight="1">
      <c r="A284" s="46">
        <v>19</v>
      </c>
      <c r="B284" s="45" t="s">
        <v>201</v>
      </c>
      <c r="C284" s="45" t="s">
        <v>33</v>
      </c>
      <c r="D284" s="45" t="s">
        <v>202</v>
      </c>
      <c r="E284" s="45" t="s">
        <v>1200</v>
      </c>
      <c r="F284" s="46" t="s">
        <v>1201</v>
      </c>
      <c r="G284" s="46">
        <v>48</v>
      </c>
      <c r="H284" s="46">
        <v>3</v>
      </c>
      <c r="I284" s="46" t="s">
        <v>780</v>
      </c>
      <c r="J284" s="45" t="s">
        <v>1202</v>
      </c>
      <c r="K284" s="46" t="s">
        <v>813</v>
      </c>
      <c r="L284" s="45" t="s">
        <v>1191</v>
      </c>
      <c r="M284" s="46">
        <v>1439</v>
      </c>
      <c r="N284" s="46" t="s">
        <v>1205</v>
      </c>
      <c r="O284" s="46">
        <v>1</v>
      </c>
      <c r="P284" s="45" t="s">
        <v>1193</v>
      </c>
      <c r="Q284" s="47" t="s">
        <v>776</v>
      </c>
      <c r="R284" s="45" t="s">
        <v>784</v>
      </c>
    </row>
    <row r="285" spans="1:18" ht="32.1" hidden="1" customHeight="1">
      <c r="A285" s="46">
        <v>19</v>
      </c>
      <c r="B285" s="45" t="s">
        <v>201</v>
      </c>
      <c r="C285" s="45" t="s">
        <v>33</v>
      </c>
      <c r="D285" s="45" t="s">
        <v>202</v>
      </c>
      <c r="E285" s="45" t="s">
        <v>1206</v>
      </c>
      <c r="F285" s="46" t="s">
        <v>1207</v>
      </c>
      <c r="G285" s="46">
        <v>48</v>
      </c>
      <c r="H285" s="46">
        <v>1</v>
      </c>
      <c r="I285" s="46" t="s">
        <v>780</v>
      </c>
      <c r="J285" s="45" t="s">
        <v>1208</v>
      </c>
      <c r="K285" s="46" t="s">
        <v>791</v>
      </c>
      <c r="L285" s="45" t="s">
        <v>1191</v>
      </c>
      <c r="M285" s="46">
        <v>1452</v>
      </c>
      <c r="N285" s="46" t="s">
        <v>1209</v>
      </c>
      <c r="O285" s="46">
        <v>1</v>
      </c>
      <c r="P285" s="45" t="s">
        <v>1193</v>
      </c>
      <c r="Q285" s="47" t="s">
        <v>776</v>
      </c>
      <c r="R285" s="45" t="s">
        <v>784</v>
      </c>
    </row>
    <row r="286" spans="1:18" ht="32.1" hidden="1" customHeight="1">
      <c r="A286" s="46">
        <v>19</v>
      </c>
      <c r="B286" s="45" t="s">
        <v>201</v>
      </c>
      <c r="C286" s="45" t="s">
        <v>33</v>
      </c>
      <c r="D286" s="45" t="s">
        <v>202</v>
      </c>
      <c r="E286" s="45" t="s">
        <v>1206</v>
      </c>
      <c r="F286" s="46" t="s">
        <v>1207</v>
      </c>
      <c r="G286" s="46">
        <v>48</v>
      </c>
      <c r="H286" s="46">
        <v>2</v>
      </c>
      <c r="I286" s="46" t="s">
        <v>780</v>
      </c>
      <c r="J286" s="45" t="s">
        <v>1208</v>
      </c>
      <c r="K286" s="46" t="s">
        <v>782</v>
      </c>
      <c r="L286" s="45" t="s">
        <v>1191</v>
      </c>
      <c r="M286" s="46">
        <v>1452</v>
      </c>
      <c r="N286" s="46" t="s">
        <v>1210</v>
      </c>
      <c r="O286" s="46">
        <v>1</v>
      </c>
      <c r="P286" s="45" t="s">
        <v>1193</v>
      </c>
      <c r="Q286" s="47" t="s">
        <v>776</v>
      </c>
      <c r="R286" s="45" t="s">
        <v>784</v>
      </c>
    </row>
    <row r="287" spans="1:18" ht="32.1" hidden="1" customHeight="1">
      <c r="A287" s="46">
        <v>19</v>
      </c>
      <c r="B287" s="45" t="s">
        <v>201</v>
      </c>
      <c r="C287" s="45" t="s">
        <v>33</v>
      </c>
      <c r="D287" s="45" t="s">
        <v>202</v>
      </c>
      <c r="E287" s="45" t="s">
        <v>1206</v>
      </c>
      <c r="F287" s="46" t="s">
        <v>1207</v>
      </c>
      <c r="G287" s="46">
        <v>48</v>
      </c>
      <c r="H287" s="46">
        <v>3</v>
      </c>
      <c r="I287" s="46" t="s">
        <v>780</v>
      </c>
      <c r="J287" s="45" t="s">
        <v>1208</v>
      </c>
      <c r="K287" s="46" t="s">
        <v>813</v>
      </c>
      <c r="L287" s="45" t="s">
        <v>1191</v>
      </c>
      <c r="M287" s="46">
        <v>1452</v>
      </c>
      <c r="N287" s="46" t="s">
        <v>1211</v>
      </c>
      <c r="O287" s="46">
        <v>1</v>
      </c>
      <c r="P287" s="45" t="s">
        <v>1193</v>
      </c>
      <c r="Q287" s="47" t="s">
        <v>776</v>
      </c>
      <c r="R287" s="45" t="s">
        <v>784</v>
      </c>
    </row>
    <row r="288" spans="1:18" ht="32.1" hidden="1" customHeight="1">
      <c r="A288" s="46">
        <v>19</v>
      </c>
      <c r="B288" s="45" t="s">
        <v>201</v>
      </c>
      <c r="C288" s="45" t="s">
        <v>33</v>
      </c>
      <c r="D288" s="45" t="s">
        <v>202</v>
      </c>
      <c r="E288" s="45" t="s">
        <v>1212</v>
      </c>
      <c r="F288" s="46" t="s">
        <v>1213</v>
      </c>
      <c r="G288" s="46">
        <v>48</v>
      </c>
      <c r="H288" s="46">
        <v>1</v>
      </c>
      <c r="I288" s="46" t="s">
        <v>780</v>
      </c>
      <c r="J288" s="45" t="s">
        <v>1214</v>
      </c>
      <c r="K288" s="46" t="s">
        <v>791</v>
      </c>
      <c r="L288" s="45" t="s">
        <v>1191</v>
      </c>
      <c r="M288" s="46">
        <v>1465</v>
      </c>
      <c r="N288" s="46" t="s">
        <v>1215</v>
      </c>
      <c r="O288" s="46">
        <v>1</v>
      </c>
      <c r="P288" s="45" t="s">
        <v>1193</v>
      </c>
      <c r="Q288" s="47" t="s">
        <v>776</v>
      </c>
      <c r="R288" s="45" t="s">
        <v>784</v>
      </c>
    </row>
    <row r="289" spans="1:18" ht="32.1" hidden="1" customHeight="1">
      <c r="A289" s="46">
        <v>19</v>
      </c>
      <c r="B289" s="45" t="s">
        <v>201</v>
      </c>
      <c r="C289" s="45" t="s">
        <v>33</v>
      </c>
      <c r="D289" s="45" t="s">
        <v>202</v>
      </c>
      <c r="E289" s="45" t="s">
        <v>1212</v>
      </c>
      <c r="F289" s="46" t="s">
        <v>1213</v>
      </c>
      <c r="G289" s="46">
        <v>48</v>
      </c>
      <c r="H289" s="46">
        <v>2</v>
      </c>
      <c r="I289" s="46" t="s">
        <v>780</v>
      </c>
      <c r="J289" s="45" t="s">
        <v>1214</v>
      </c>
      <c r="K289" s="46" t="s">
        <v>782</v>
      </c>
      <c r="L289" s="45" t="s">
        <v>1191</v>
      </c>
      <c r="M289" s="46">
        <v>1465</v>
      </c>
      <c r="N289" s="46" t="s">
        <v>1216</v>
      </c>
      <c r="O289" s="46">
        <v>1</v>
      </c>
      <c r="P289" s="45" t="s">
        <v>1193</v>
      </c>
      <c r="Q289" s="47" t="s">
        <v>776</v>
      </c>
      <c r="R289" s="45" t="s">
        <v>784</v>
      </c>
    </row>
    <row r="290" spans="1:18" ht="32.1" hidden="1" customHeight="1">
      <c r="A290" s="46">
        <v>19</v>
      </c>
      <c r="B290" s="45" t="s">
        <v>201</v>
      </c>
      <c r="C290" s="45" t="s">
        <v>33</v>
      </c>
      <c r="D290" s="45" t="s">
        <v>202</v>
      </c>
      <c r="E290" s="45" t="s">
        <v>1212</v>
      </c>
      <c r="F290" s="46" t="s">
        <v>1213</v>
      </c>
      <c r="G290" s="46">
        <v>48</v>
      </c>
      <c r="H290" s="46">
        <v>3</v>
      </c>
      <c r="I290" s="46" t="s">
        <v>780</v>
      </c>
      <c r="J290" s="45" t="s">
        <v>1214</v>
      </c>
      <c r="K290" s="46" t="s">
        <v>813</v>
      </c>
      <c r="L290" s="45" t="s">
        <v>1191</v>
      </c>
      <c r="M290" s="46">
        <v>1465</v>
      </c>
      <c r="N290" s="46" t="s">
        <v>1217</v>
      </c>
      <c r="O290" s="46">
        <v>1</v>
      </c>
      <c r="P290" s="45" t="s">
        <v>1193</v>
      </c>
      <c r="Q290" s="47" t="s">
        <v>776</v>
      </c>
      <c r="R290" s="45" t="s">
        <v>784</v>
      </c>
    </row>
    <row r="291" spans="1:18" ht="32.1" hidden="1" customHeight="1">
      <c r="A291" s="46">
        <v>20</v>
      </c>
      <c r="B291" s="45" t="s">
        <v>209</v>
      </c>
      <c r="C291" s="45" t="s">
        <v>211</v>
      </c>
      <c r="D291" s="45" t="s">
        <v>210</v>
      </c>
      <c r="E291" s="45" t="s">
        <v>1218</v>
      </c>
      <c r="F291" s="46" t="s">
        <v>770</v>
      </c>
      <c r="G291" s="46">
        <v>1469</v>
      </c>
      <c r="H291" s="46">
        <v>1</v>
      </c>
      <c r="I291" s="46" t="s">
        <v>780</v>
      </c>
      <c r="J291" s="45" t="s">
        <v>1170</v>
      </c>
      <c r="K291" s="46" t="s">
        <v>829</v>
      </c>
      <c r="L291" s="45" t="s">
        <v>1219</v>
      </c>
      <c r="M291" s="46">
        <v>219</v>
      </c>
      <c r="N291" s="46" t="s">
        <v>1102</v>
      </c>
      <c r="O291" s="46">
        <v>1</v>
      </c>
      <c r="P291" s="45" t="s">
        <v>1220</v>
      </c>
      <c r="Q291" s="47" t="s">
        <v>776</v>
      </c>
      <c r="R291" s="45" t="s">
        <v>784</v>
      </c>
    </row>
    <row r="292" spans="1:18" ht="32.1" hidden="1" customHeight="1">
      <c r="A292" s="46">
        <v>20</v>
      </c>
      <c r="B292" s="45" t="s">
        <v>209</v>
      </c>
      <c r="C292" s="45" t="s">
        <v>211</v>
      </c>
      <c r="D292" s="45" t="s">
        <v>210</v>
      </c>
      <c r="E292" s="45" t="s">
        <v>1221</v>
      </c>
      <c r="F292" s="46" t="s">
        <v>842</v>
      </c>
      <c r="G292" s="46">
        <v>21</v>
      </c>
      <c r="H292" s="46">
        <v>1</v>
      </c>
      <c r="I292" s="46" t="s">
        <v>780</v>
      </c>
      <c r="J292" s="45" t="s">
        <v>1170</v>
      </c>
      <c r="K292" s="46" t="s">
        <v>831</v>
      </c>
      <c r="L292" s="45" t="s">
        <v>1219</v>
      </c>
      <c r="M292" s="46">
        <v>226</v>
      </c>
      <c r="N292" s="46" t="s">
        <v>1104</v>
      </c>
      <c r="O292" s="46">
        <v>1</v>
      </c>
      <c r="P292" s="45" t="s">
        <v>1220</v>
      </c>
      <c r="Q292" s="47" t="s">
        <v>776</v>
      </c>
      <c r="R292" s="45" t="s">
        <v>784</v>
      </c>
    </row>
    <row r="293" spans="1:18" ht="32.1" hidden="1" customHeight="1">
      <c r="A293" s="46">
        <v>20</v>
      </c>
      <c r="B293" s="45" t="s">
        <v>209</v>
      </c>
      <c r="C293" s="45" t="s">
        <v>211</v>
      </c>
      <c r="D293" s="45" t="s">
        <v>210</v>
      </c>
      <c r="E293" s="45" t="s">
        <v>1222</v>
      </c>
      <c r="F293" s="46" t="s">
        <v>809</v>
      </c>
      <c r="G293" s="46">
        <v>72</v>
      </c>
      <c r="H293" s="46">
        <v>1</v>
      </c>
      <c r="I293" s="46" t="s">
        <v>780</v>
      </c>
      <c r="J293" s="45" t="s">
        <v>1001</v>
      </c>
      <c r="K293" s="46" t="s">
        <v>806</v>
      </c>
      <c r="L293" s="45" t="s">
        <v>1219</v>
      </c>
      <c r="M293" s="46">
        <v>229</v>
      </c>
      <c r="N293" s="46" t="s">
        <v>1106</v>
      </c>
      <c r="O293" s="46">
        <v>1</v>
      </c>
      <c r="P293" s="45" t="s">
        <v>1220</v>
      </c>
      <c r="Q293" s="47" t="s">
        <v>776</v>
      </c>
      <c r="R293" s="45" t="s">
        <v>784</v>
      </c>
    </row>
    <row r="294" spans="1:18" ht="32.1" hidden="1" customHeight="1">
      <c r="A294" s="46">
        <v>20</v>
      </c>
      <c r="B294" s="45" t="s">
        <v>209</v>
      </c>
      <c r="C294" s="45" t="s">
        <v>211</v>
      </c>
      <c r="D294" s="45" t="s">
        <v>210</v>
      </c>
      <c r="E294" s="45" t="s">
        <v>1223</v>
      </c>
      <c r="F294" s="46" t="s">
        <v>848</v>
      </c>
      <c r="G294" s="46">
        <v>108</v>
      </c>
      <c r="H294" s="46">
        <v>1</v>
      </c>
      <c r="I294" s="46" t="s">
        <v>780</v>
      </c>
      <c r="J294" s="45" t="s">
        <v>1224</v>
      </c>
      <c r="K294" s="46" t="s">
        <v>791</v>
      </c>
      <c r="L294" s="45" t="s">
        <v>1219</v>
      </c>
      <c r="M294" s="46">
        <v>232</v>
      </c>
      <c r="N294" s="46" t="s">
        <v>1130</v>
      </c>
      <c r="O294" s="46">
        <v>1</v>
      </c>
      <c r="P294" s="45" t="s">
        <v>1220</v>
      </c>
      <c r="Q294" s="47" t="s">
        <v>776</v>
      </c>
      <c r="R294" s="45" t="s">
        <v>784</v>
      </c>
    </row>
    <row r="295" spans="1:18" ht="32.1" hidden="1" customHeight="1">
      <c r="A295" s="46">
        <v>20</v>
      </c>
      <c r="B295" s="45" t="s">
        <v>209</v>
      </c>
      <c r="C295" s="45" t="s">
        <v>211</v>
      </c>
      <c r="D295" s="45" t="s">
        <v>210</v>
      </c>
      <c r="E295" s="45" t="s">
        <v>1223</v>
      </c>
      <c r="F295" s="46" t="s">
        <v>848</v>
      </c>
      <c r="G295" s="46">
        <v>108</v>
      </c>
      <c r="H295" s="46">
        <v>2</v>
      </c>
      <c r="I295" s="46" t="s">
        <v>780</v>
      </c>
      <c r="J295" s="45" t="s">
        <v>1224</v>
      </c>
      <c r="K295" s="46" t="s">
        <v>782</v>
      </c>
      <c r="L295" s="45" t="s">
        <v>1219</v>
      </c>
      <c r="M295" s="46">
        <v>232</v>
      </c>
      <c r="N295" s="46" t="s">
        <v>1131</v>
      </c>
      <c r="O295" s="46">
        <v>1</v>
      </c>
      <c r="P295" s="45" t="s">
        <v>1220</v>
      </c>
      <c r="Q295" s="47" t="s">
        <v>776</v>
      </c>
      <c r="R295" s="45" t="s">
        <v>784</v>
      </c>
    </row>
    <row r="296" spans="1:18" ht="32.1" hidden="1" customHeight="1">
      <c r="A296" s="46">
        <v>20</v>
      </c>
      <c r="B296" s="45" t="s">
        <v>209</v>
      </c>
      <c r="C296" s="45" t="s">
        <v>211</v>
      </c>
      <c r="D296" s="45" t="s">
        <v>210</v>
      </c>
      <c r="E296" s="45" t="s">
        <v>1223</v>
      </c>
      <c r="F296" s="46" t="s">
        <v>848</v>
      </c>
      <c r="G296" s="46">
        <v>108</v>
      </c>
      <c r="H296" s="46">
        <v>3</v>
      </c>
      <c r="I296" s="46" t="s">
        <v>780</v>
      </c>
      <c r="J296" s="45" t="s">
        <v>1224</v>
      </c>
      <c r="K296" s="46" t="s">
        <v>813</v>
      </c>
      <c r="L296" s="45" t="s">
        <v>1219</v>
      </c>
      <c r="M296" s="46">
        <v>232</v>
      </c>
      <c r="N296" s="46" t="s">
        <v>1132</v>
      </c>
      <c r="O296" s="46">
        <v>1</v>
      </c>
      <c r="P296" s="45" t="s">
        <v>1220</v>
      </c>
      <c r="Q296" s="47" t="s">
        <v>776</v>
      </c>
      <c r="R296" s="45" t="s">
        <v>784</v>
      </c>
    </row>
    <row r="297" spans="1:18" ht="32.1" hidden="1" customHeight="1">
      <c r="A297" s="46">
        <v>20</v>
      </c>
      <c r="B297" s="45" t="s">
        <v>209</v>
      </c>
      <c r="C297" s="45" t="s">
        <v>211</v>
      </c>
      <c r="D297" s="45" t="s">
        <v>210</v>
      </c>
      <c r="E297" s="45" t="s">
        <v>1223</v>
      </c>
      <c r="F297" s="46" t="s">
        <v>848</v>
      </c>
      <c r="G297" s="46">
        <v>108</v>
      </c>
      <c r="H297" s="46">
        <v>4</v>
      </c>
      <c r="I297" s="46" t="s">
        <v>780</v>
      </c>
      <c r="J297" s="45" t="s">
        <v>1224</v>
      </c>
      <c r="K297" s="46" t="s">
        <v>815</v>
      </c>
      <c r="L297" s="45" t="s">
        <v>1219</v>
      </c>
      <c r="M297" s="46">
        <v>232</v>
      </c>
      <c r="N297" s="46" t="s">
        <v>1133</v>
      </c>
      <c r="O297" s="46">
        <v>1</v>
      </c>
      <c r="P297" s="45" t="s">
        <v>1220</v>
      </c>
      <c r="Q297" s="47" t="s">
        <v>776</v>
      </c>
      <c r="R297" s="45" t="s">
        <v>784</v>
      </c>
    </row>
    <row r="298" spans="1:18" ht="32.1" hidden="1" customHeight="1">
      <c r="A298" s="46">
        <v>20</v>
      </c>
      <c r="B298" s="45" t="s">
        <v>209</v>
      </c>
      <c r="C298" s="45" t="s">
        <v>211</v>
      </c>
      <c r="D298" s="45" t="s">
        <v>210</v>
      </c>
      <c r="E298" s="45" t="s">
        <v>1223</v>
      </c>
      <c r="F298" s="46" t="s">
        <v>848</v>
      </c>
      <c r="G298" s="46">
        <v>108</v>
      </c>
      <c r="H298" s="46">
        <v>5</v>
      </c>
      <c r="I298" s="46" t="s">
        <v>780</v>
      </c>
      <c r="J298" s="45" t="s">
        <v>1224</v>
      </c>
      <c r="K298" s="46" t="s">
        <v>817</v>
      </c>
      <c r="L298" s="45" t="s">
        <v>1219</v>
      </c>
      <c r="M298" s="46">
        <v>232</v>
      </c>
      <c r="N298" s="46" t="s">
        <v>1134</v>
      </c>
      <c r="O298" s="46">
        <v>1</v>
      </c>
      <c r="P298" s="45" t="s">
        <v>1220</v>
      </c>
      <c r="Q298" s="47" t="s">
        <v>776</v>
      </c>
      <c r="R298" s="45" t="s">
        <v>784</v>
      </c>
    </row>
    <row r="299" spans="1:18" ht="32.1" hidden="1" customHeight="1">
      <c r="A299" s="46">
        <v>20</v>
      </c>
      <c r="B299" s="45" t="s">
        <v>209</v>
      </c>
      <c r="C299" s="45" t="s">
        <v>211</v>
      </c>
      <c r="D299" s="45" t="s">
        <v>210</v>
      </c>
      <c r="E299" s="45" t="s">
        <v>1223</v>
      </c>
      <c r="F299" s="46" t="s">
        <v>848</v>
      </c>
      <c r="G299" s="46">
        <v>108</v>
      </c>
      <c r="H299" s="46">
        <v>6</v>
      </c>
      <c r="I299" s="46" t="s">
        <v>780</v>
      </c>
      <c r="J299" s="45" t="s">
        <v>1224</v>
      </c>
      <c r="K299" s="46" t="s">
        <v>819</v>
      </c>
      <c r="L299" s="45" t="s">
        <v>1219</v>
      </c>
      <c r="M299" s="46">
        <v>232</v>
      </c>
      <c r="N299" s="46" t="s">
        <v>1135</v>
      </c>
      <c r="O299" s="46">
        <v>1</v>
      </c>
      <c r="P299" s="45" t="s">
        <v>1220</v>
      </c>
      <c r="Q299" s="47" t="s">
        <v>776</v>
      </c>
      <c r="R299" s="45" t="s">
        <v>784</v>
      </c>
    </row>
    <row r="300" spans="1:18" ht="32.1" hidden="1" customHeight="1">
      <c r="A300" s="46">
        <v>20</v>
      </c>
      <c r="B300" s="45" t="s">
        <v>209</v>
      </c>
      <c r="C300" s="45" t="s">
        <v>211</v>
      </c>
      <c r="D300" s="45" t="s">
        <v>210</v>
      </c>
      <c r="E300" s="45" t="s">
        <v>1223</v>
      </c>
      <c r="F300" s="46" t="s">
        <v>848</v>
      </c>
      <c r="G300" s="46">
        <v>108</v>
      </c>
      <c r="H300" s="46">
        <v>7</v>
      </c>
      <c r="I300" s="46" t="s">
        <v>780</v>
      </c>
      <c r="J300" s="45" t="s">
        <v>1224</v>
      </c>
      <c r="K300" s="46" t="s">
        <v>821</v>
      </c>
      <c r="L300" s="45" t="s">
        <v>1219</v>
      </c>
      <c r="M300" s="46">
        <v>232</v>
      </c>
      <c r="N300" s="46" t="s">
        <v>1136</v>
      </c>
      <c r="O300" s="46">
        <v>1</v>
      </c>
      <c r="P300" s="45" t="s">
        <v>1220</v>
      </c>
      <c r="Q300" s="47" t="s">
        <v>776</v>
      </c>
      <c r="R300" s="45" t="s">
        <v>784</v>
      </c>
    </row>
    <row r="301" spans="1:18" ht="32.1" hidden="1" customHeight="1">
      <c r="A301" s="46">
        <v>20</v>
      </c>
      <c r="B301" s="45" t="s">
        <v>209</v>
      </c>
      <c r="C301" s="45" t="s">
        <v>211</v>
      </c>
      <c r="D301" s="45" t="s">
        <v>210</v>
      </c>
      <c r="E301" s="45" t="s">
        <v>1223</v>
      </c>
      <c r="F301" s="46" t="s">
        <v>848</v>
      </c>
      <c r="G301" s="46">
        <v>108</v>
      </c>
      <c r="H301" s="46">
        <v>8</v>
      </c>
      <c r="I301" s="46" t="s">
        <v>780</v>
      </c>
      <c r="J301" s="45" t="s">
        <v>1224</v>
      </c>
      <c r="K301" s="46" t="s">
        <v>795</v>
      </c>
      <c r="L301" s="45" t="s">
        <v>1219</v>
      </c>
      <c r="M301" s="46">
        <v>232</v>
      </c>
      <c r="N301" s="46" t="s">
        <v>1137</v>
      </c>
      <c r="O301" s="46">
        <v>1</v>
      </c>
      <c r="P301" s="45" t="s">
        <v>1220</v>
      </c>
      <c r="Q301" s="47" t="s">
        <v>776</v>
      </c>
      <c r="R301" s="45" t="s">
        <v>784</v>
      </c>
    </row>
    <row r="302" spans="1:18" ht="32.1" hidden="1" customHeight="1">
      <c r="A302" s="46">
        <v>20</v>
      </c>
      <c r="B302" s="45" t="s">
        <v>209</v>
      </c>
      <c r="C302" s="45" t="s">
        <v>211</v>
      </c>
      <c r="D302" s="45" t="s">
        <v>210</v>
      </c>
      <c r="E302" s="45" t="s">
        <v>1223</v>
      </c>
      <c r="F302" s="46" t="s">
        <v>848</v>
      </c>
      <c r="G302" s="46">
        <v>108</v>
      </c>
      <c r="H302" s="46">
        <v>9</v>
      </c>
      <c r="I302" s="46" t="s">
        <v>780</v>
      </c>
      <c r="J302" s="45" t="s">
        <v>1224</v>
      </c>
      <c r="K302" s="46" t="s">
        <v>824</v>
      </c>
      <c r="L302" s="45" t="s">
        <v>1219</v>
      </c>
      <c r="M302" s="46">
        <v>232</v>
      </c>
      <c r="N302" s="46" t="s">
        <v>1138</v>
      </c>
      <c r="O302" s="46">
        <v>1</v>
      </c>
      <c r="P302" s="45" t="s">
        <v>1220</v>
      </c>
      <c r="Q302" s="47" t="s">
        <v>776</v>
      </c>
      <c r="R302" s="45" t="s">
        <v>784</v>
      </c>
    </row>
    <row r="303" spans="1:18" ht="32.1" hidden="1" customHeight="1">
      <c r="A303" s="46">
        <v>20</v>
      </c>
      <c r="B303" s="45" t="s">
        <v>209</v>
      </c>
      <c r="C303" s="45" t="s">
        <v>211</v>
      </c>
      <c r="D303" s="45" t="s">
        <v>210</v>
      </c>
      <c r="E303" s="45" t="s">
        <v>1225</v>
      </c>
      <c r="F303" s="46" t="s">
        <v>836</v>
      </c>
      <c r="G303" s="46">
        <v>48</v>
      </c>
      <c r="H303" s="46">
        <v>1</v>
      </c>
      <c r="I303" s="46" t="s">
        <v>780</v>
      </c>
      <c r="J303" s="45" t="s">
        <v>1152</v>
      </c>
      <c r="K303" s="46" t="s">
        <v>791</v>
      </c>
      <c r="L303" s="45" t="s">
        <v>1219</v>
      </c>
      <c r="M303" s="46">
        <v>251</v>
      </c>
      <c r="N303" s="46" t="s">
        <v>1109</v>
      </c>
      <c r="O303" s="46">
        <v>1</v>
      </c>
      <c r="P303" s="45" t="s">
        <v>1220</v>
      </c>
      <c r="Q303" s="47" t="s">
        <v>776</v>
      </c>
      <c r="R303" s="45" t="s">
        <v>784</v>
      </c>
    </row>
    <row r="304" spans="1:18" ht="32.1" hidden="1" customHeight="1">
      <c r="A304" s="46">
        <v>20</v>
      </c>
      <c r="B304" s="45" t="s">
        <v>209</v>
      </c>
      <c r="C304" s="45" t="s">
        <v>211</v>
      </c>
      <c r="D304" s="45" t="s">
        <v>210</v>
      </c>
      <c r="E304" s="45" t="s">
        <v>1225</v>
      </c>
      <c r="F304" s="46" t="s">
        <v>836</v>
      </c>
      <c r="G304" s="46">
        <v>48</v>
      </c>
      <c r="H304" s="46">
        <v>2</v>
      </c>
      <c r="I304" s="46" t="s">
        <v>780</v>
      </c>
      <c r="J304" s="45" t="s">
        <v>1152</v>
      </c>
      <c r="K304" s="46" t="s">
        <v>782</v>
      </c>
      <c r="L304" s="45" t="s">
        <v>1219</v>
      </c>
      <c r="M304" s="46">
        <v>251</v>
      </c>
      <c r="N304" s="46" t="s">
        <v>1110</v>
      </c>
      <c r="O304" s="46">
        <v>1</v>
      </c>
      <c r="P304" s="45" t="s">
        <v>1220</v>
      </c>
      <c r="Q304" s="47" t="s">
        <v>776</v>
      </c>
      <c r="R304" s="45" t="s">
        <v>784</v>
      </c>
    </row>
    <row r="305" spans="1:18" ht="32.1" hidden="1" customHeight="1">
      <c r="A305" s="46">
        <v>20</v>
      </c>
      <c r="B305" s="45" t="s">
        <v>209</v>
      </c>
      <c r="C305" s="45" t="s">
        <v>211</v>
      </c>
      <c r="D305" s="45" t="s">
        <v>210</v>
      </c>
      <c r="E305" s="45" t="s">
        <v>1225</v>
      </c>
      <c r="F305" s="46" t="s">
        <v>836</v>
      </c>
      <c r="G305" s="46">
        <v>48</v>
      </c>
      <c r="H305" s="46">
        <v>3</v>
      </c>
      <c r="I305" s="46" t="s">
        <v>780</v>
      </c>
      <c r="J305" s="45" t="s">
        <v>1152</v>
      </c>
      <c r="K305" s="46" t="s">
        <v>813</v>
      </c>
      <c r="L305" s="45" t="s">
        <v>1219</v>
      </c>
      <c r="M305" s="46">
        <v>251</v>
      </c>
      <c r="N305" s="46" t="s">
        <v>1111</v>
      </c>
      <c r="O305" s="46">
        <v>1</v>
      </c>
      <c r="P305" s="45" t="s">
        <v>1220</v>
      </c>
      <c r="Q305" s="47" t="s">
        <v>776</v>
      </c>
      <c r="R305" s="45" t="s">
        <v>784</v>
      </c>
    </row>
    <row r="306" spans="1:18" ht="32.1" hidden="1" customHeight="1">
      <c r="A306" s="46">
        <v>20</v>
      </c>
      <c r="B306" s="45" t="s">
        <v>209</v>
      </c>
      <c r="C306" s="45" t="s">
        <v>211</v>
      </c>
      <c r="D306" s="45" t="s">
        <v>210</v>
      </c>
      <c r="E306" s="45" t="s">
        <v>1225</v>
      </c>
      <c r="F306" s="46" t="s">
        <v>836</v>
      </c>
      <c r="G306" s="46">
        <v>48</v>
      </c>
      <c r="H306" s="46">
        <v>4</v>
      </c>
      <c r="I306" s="46" t="s">
        <v>780</v>
      </c>
      <c r="J306" s="45" t="s">
        <v>1152</v>
      </c>
      <c r="K306" s="46" t="s">
        <v>815</v>
      </c>
      <c r="L306" s="45" t="s">
        <v>1219</v>
      </c>
      <c r="M306" s="46">
        <v>251</v>
      </c>
      <c r="N306" s="46" t="s">
        <v>1112</v>
      </c>
      <c r="O306" s="46">
        <v>1</v>
      </c>
      <c r="P306" s="45" t="s">
        <v>1220</v>
      </c>
      <c r="Q306" s="47" t="s">
        <v>776</v>
      </c>
      <c r="R306" s="45" t="s">
        <v>784</v>
      </c>
    </row>
    <row r="307" spans="1:18" ht="32.1" hidden="1" customHeight="1">
      <c r="A307" s="46">
        <v>20</v>
      </c>
      <c r="B307" s="45" t="s">
        <v>209</v>
      </c>
      <c r="C307" s="45" t="s">
        <v>211</v>
      </c>
      <c r="D307" s="45" t="s">
        <v>210</v>
      </c>
      <c r="E307" s="45" t="s">
        <v>1225</v>
      </c>
      <c r="F307" s="46" t="s">
        <v>836</v>
      </c>
      <c r="G307" s="46">
        <v>48</v>
      </c>
      <c r="H307" s="46">
        <v>5</v>
      </c>
      <c r="I307" s="46" t="s">
        <v>780</v>
      </c>
      <c r="J307" s="45" t="s">
        <v>1152</v>
      </c>
      <c r="K307" s="46" t="s">
        <v>817</v>
      </c>
      <c r="L307" s="45" t="s">
        <v>1219</v>
      </c>
      <c r="M307" s="46">
        <v>251</v>
      </c>
      <c r="N307" s="46" t="s">
        <v>1113</v>
      </c>
      <c r="O307" s="46">
        <v>1</v>
      </c>
      <c r="P307" s="45" t="s">
        <v>1220</v>
      </c>
      <c r="Q307" s="47" t="s">
        <v>776</v>
      </c>
      <c r="R307" s="45" t="s">
        <v>784</v>
      </c>
    </row>
    <row r="308" spans="1:18" ht="32.1" hidden="1" customHeight="1">
      <c r="A308" s="46">
        <v>20</v>
      </c>
      <c r="B308" s="45" t="s">
        <v>209</v>
      </c>
      <c r="C308" s="45" t="s">
        <v>211</v>
      </c>
      <c r="D308" s="45" t="s">
        <v>210</v>
      </c>
      <c r="E308" s="45" t="s">
        <v>1225</v>
      </c>
      <c r="F308" s="46" t="s">
        <v>836</v>
      </c>
      <c r="G308" s="46">
        <v>48</v>
      </c>
      <c r="H308" s="46">
        <v>6</v>
      </c>
      <c r="I308" s="46" t="s">
        <v>780</v>
      </c>
      <c r="J308" s="45" t="s">
        <v>1152</v>
      </c>
      <c r="K308" s="46" t="s">
        <v>819</v>
      </c>
      <c r="L308" s="45" t="s">
        <v>1219</v>
      </c>
      <c r="M308" s="46">
        <v>251</v>
      </c>
      <c r="N308" s="46" t="s">
        <v>1114</v>
      </c>
      <c r="O308" s="46">
        <v>1</v>
      </c>
      <c r="P308" s="45" t="s">
        <v>1220</v>
      </c>
      <c r="Q308" s="47" t="s">
        <v>776</v>
      </c>
      <c r="R308" s="45" t="s">
        <v>784</v>
      </c>
    </row>
    <row r="309" spans="1:18" ht="32.1" hidden="1" customHeight="1">
      <c r="A309" s="46">
        <v>20</v>
      </c>
      <c r="B309" s="45" t="s">
        <v>209</v>
      </c>
      <c r="C309" s="45" t="s">
        <v>211</v>
      </c>
      <c r="D309" s="45" t="s">
        <v>210</v>
      </c>
      <c r="E309" s="45" t="s">
        <v>1225</v>
      </c>
      <c r="F309" s="46" t="s">
        <v>836</v>
      </c>
      <c r="G309" s="46">
        <v>48</v>
      </c>
      <c r="H309" s="46">
        <v>7</v>
      </c>
      <c r="I309" s="46" t="s">
        <v>780</v>
      </c>
      <c r="J309" s="45" t="s">
        <v>1152</v>
      </c>
      <c r="K309" s="46" t="s">
        <v>821</v>
      </c>
      <c r="L309" s="45" t="s">
        <v>1219</v>
      </c>
      <c r="M309" s="46">
        <v>251</v>
      </c>
      <c r="N309" s="46" t="s">
        <v>1115</v>
      </c>
      <c r="O309" s="46">
        <v>1</v>
      </c>
      <c r="P309" s="45" t="s">
        <v>1220</v>
      </c>
      <c r="Q309" s="47" t="s">
        <v>776</v>
      </c>
      <c r="R309" s="45" t="s">
        <v>784</v>
      </c>
    </row>
    <row r="310" spans="1:18" ht="32.1" hidden="1" customHeight="1">
      <c r="A310" s="46">
        <v>20</v>
      </c>
      <c r="B310" s="45" t="s">
        <v>209</v>
      </c>
      <c r="C310" s="45" t="s">
        <v>211</v>
      </c>
      <c r="D310" s="45" t="s">
        <v>210</v>
      </c>
      <c r="E310" s="45" t="s">
        <v>1225</v>
      </c>
      <c r="F310" s="46" t="s">
        <v>836</v>
      </c>
      <c r="G310" s="46">
        <v>48</v>
      </c>
      <c r="H310" s="46">
        <v>8</v>
      </c>
      <c r="I310" s="46" t="s">
        <v>780</v>
      </c>
      <c r="J310" s="45" t="s">
        <v>1152</v>
      </c>
      <c r="K310" s="46" t="s">
        <v>795</v>
      </c>
      <c r="L310" s="45" t="s">
        <v>1219</v>
      </c>
      <c r="M310" s="46">
        <v>251</v>
      </c>
      <c r="N310" s="46" t="s">
        <v>1116</v>
      </c>
      <c r="O310" s="46">
        <v>1</v>
      </c>
      <c r="P310" s="45" t="s">
        <v>1220</v>
      </c>
      <c r="Q310" s="47" t="s">
        <v>776</v>
      </c>
      <c r="R310" s="45" t="s">
        <v>784</v>
      </c>
    </row>
    <row r="311" spans="1:18" ht="32.1" hidden="1" customHeight="1">
      <c r="A311" s="46">
        <v>20</v>
      </c>
      <c r="B311" s="45" t="s">
        <v>209</v>
      </c>
      <c r="C311" s="45" t="s">
        <v>211</v>
      </c>
      <c r="D311" s="45" t="s">
        <v>210</v>
      </c>
      <c r="E311" s="45" t="s">
        <v>1225</v>
      </c>
      <c r="F311" s="46" t="s">
        <v>836</v>
      </c>
      <c r="G311" s="46">
        <v>48</v>
      </c>
      <c r="H311" s="46">
        <v>9</v>
      </c>
      <c r="I311" s="46" t="s">
        <v>780</v>
      </c>
      <c r="J311" s="45" t="s">
        <v>1152</v>
      </c>
      <c r="K311" s="46" t="s">
        <v>824</v>
      </c>
      <c r="L311" s="45" t="s">
        <v>1219</v>
      </c>
      <c r="M311" s="46">
        <v>251</v>
      </c>
      <c r="N311" s="46" t="s">
        <v>1117</v>
      </c>
      <c r="O311" s="46">
        <v>1</v>
      </c>
      <c r="P311" s="45" t="s">
        <v>1220</v>
      </c>
      <c r="Q311" s="47" t="s">
        <v>776</v>
      </c>
      <c r="R311" s="45" t="s">
        <v>784</v>
      </c>
    </row>
    <row r="312" spans="1:18" ht="32.1" hidden="1" customHeight="1">
      <c r="A312" s="46">
        <v>20</v>
      </c>
      <c r="B312" s="45" t="s">
        <v>209</v>
      </c>
      <c r="C312" s="45" t="s">
        <v>211</v>
      </c>
      <c r="D312" s="45" t="s">
        <v>210</v>
      </c>
      <c r="E312" s="45" t="s">
        <v>1226</v>
      </c>
      <c r="F312" s="46" t="s">
        <v>798</v>
      </c>
      <c r="G312" s="46">
        <v>30</v>
      </c>
      <c r="H312" s="46">
        <v>1</v>
      </c>
      <c r="I312" s="46" t="s">
        <v>780</v>
      </c>
      <c r="J312" s="45" t="s">
        <v>1227</v>
      </c>
      <c r="K312" s="46" t="s">
        <v>791</v>
      </c>
      <c r="L312" s="45" t="s">
        <v>1219</v>
      </c>
      <c r="M312" s="46">
        <v>270</v>
      </c>
      <c r="N312" s="46" t="s">
        <v>1142</v>
      </c>
      <c r="O312" s="46">
        <v>1</v>
      </c>
      <c r="P312" s="45" t="s">
        <v>1220</v>
      </c>
      <c r="Q312" s="47" t="s">
        <v>776</v>
      </c>
      <c r="R312" s="45" t="s">
        <v>784</v>
      </c>
    </row>
    <row r="313" spans="1:18" ht="32.1" hidden="1" customHeight="1">
      <c r="A313" s="46">
        <v>20</v>
      </c>
      <c r="B313" s="45" t="s">
        <v>209</v>
      </c>
      <c r="C313" s="45" t="s">
        <v>211</v>
      </c>
      <c r="D313" s="45" t="s">
        <v>210</v>
      </c>
      <c r="E313" s="45" t="s">
        <v>1226</v>
      </c>
      <c r="F313" s="46" t="s">
        <v>798</v>
      </c>
      <c r="G313" s="46">
        <v>30</v>
      </c>
      <c r="H313" s="46">
        <v>2</v>
      </c>
      <c r="I313" s="46" t="s">
        <v>780</v>
      </c>
      <c r="J313" s="45" t="s">
        <v>1227</v>
      </c>
      <c r="K313" s="46" t="s">
        <v>782</v>
      </c>
      <c r="L313" s="45" t="s">
        <v>1219</v>
      </c>
      <c r="M313" s="46">
        <v>270</v>
      </c>
      <c r="N313" s="46" t="s">
        <v>1143</v>
      </c>
      <c r="O313" s="46">
        <v>1</v>
      </c>
      <c r="P313" s="45" t="s">
        <v>1220</v>
      </c>
      <c r="Q313" s="47" t="s">
        <v>776</v>
      </c>
      <c r="R313" s="45" t="s">
        <v>784</v>
      </c>
    </row>
    <row r="314" spans="1:18" ht="32.1" hidden="1" customHeight="1">
      <c r="A314" s="46">
        <v>20</v>
      </c>
      <c r="B314" s="45" t="s">
        <v>209</v>
      </c>
      <c r="C314" s="45" t="s">
        <v>211</v>
      </c>
      <c r="D314" s="45" t="s">
        <v>210</v>
      </c>
      <c r="E314" s="45" t="s">
        <v>1226</v>
      </c>
      <c r="F314" s="46" t="s">
        <v>798</v>
      </c>
      <c r="G314" s="46">
        <v>30</v>
      </c>
      <c r="H314" s="46">
        <v>3</v>
      </c>
      <c r="I314" s="46" t="s">
        <v>780</v>
      </c>
      <c r="J314" s="45" t="s">
        <v>1227</v>
      </c>
      <c r="K314" s="46" t="s">
        <v>813</v>
      </c>
      <c r="L314" s="45" t="s">
        <v>1219</v>
      </c>
      <c r="M314" s="46">
        <v>270</v>
      </c>
      <c r="N314" s="46" t="s">
        <v>1144</v>
      </c>
      <c r="O314" s="46">
        <v>1</v>
      </c>
      <c r="P314" s="45" t="s">
        <v>1220</v>
      </c>
      <c r="Q314" s="47" t="s">
        <v>776</v>
      </c>
      <c r="R314" s="45" t="s">
        <v>784</v>
      </c>
    </row>
    <row r="315" spans="1:18" ht="32.1" hidden="1" customHeight="1">
      <c r="A315" s="46">
        <v>20</v>
      </c>
      <c r="B315" s="45" t="s">
        <v>209</v>
      </c>
      <c r="C315" s="45" t="s">
        <v>211</v>
      </c>
      <c r="D315" s="45" t="s">
        <v>210</v>
      </c>
      <c r="E315" s="45" t="s">
        <v>1226</v>
      </c>
      <c r="F315" s="46" t="s">
        <v>798</v>
      </c>
      <c r="G315" s="46">
        <v>30</v>
      </c>
      <c r="H315" s="46">
        <v>4</v>
      </c>
      <c r="I315" s="46" t="s">
        <v>780</v>
      </c>
      <c r="J315" s="45" t="s">
        <v>1227</v>
      </c>
      <c r="K315" s="46" t="s">
        <v>815</v>
      </c>
      <c r="L315" s="45" t="s">
        <v>1219</v>
      </c>
      <c r="M315" s="46">
        <v>270</v>
      </c>
      <c r="N315" s="46" t="s">
        <v>1145</v>
      </c>
      <c r="O315" s="46">
        <v>1</v>
      </c>
      <c r="P315" s="45" t="s">
        <v>1220</v>
      </c>
      <c r="Q315" s="47" t="s">
        <v>776</v>
      </c>
      <c r="R315" s="45" t="s">
        <v>784</v>
      </c>
    </row>
    <row r="316" spans="1:18" ht="32.1" hidden="1" customHeight="1">
      <c r="A316" s="46">
        <v>20</v>
      </c>
      <c r="B316" s="45" t="s">
        <v>209</v>
      </c>
      <c r="C316" s="45" t="s">
        <v>211</v>
      </c>
      <c r="D316" s="45" t="s">
        <v>210</v>
      </c>
      <c r="E316" s="45" t="s">
        <v>1226</v>
      </c>
      <c r="F316" s="46" t="s">
        <v>798</v>
      </c>
      <c r="G316" s="46">
        <v>30</v>
      </c>
      <c r="H316" s="46">
        <v>5</v>
      </c>
      <c r="I316" s="46" t="s">
        <v>780</v>
      </c>
      <c r="J316" s="45" t="s">
        <v>1227</v>
      </c>
      <c r="K316" s="46" t="s">
        <v>817</v>
      </c>
      <c r="L316" s="45" t="s">
        <v>1219</v>
      </c>
      <c r="M316" s="46">
        <v>270</v>
      </c>
      <c r="N316" s="46" t="s">
        <v>1146</v>
      </c>
      <c r="O316" s="46">
        <v>1</v>
      </c>
      <c r="P316" s="45" t="s">
        <v>1220</v>
      </c>
      <c r="Q316" s="47" t="s">
        <v>776</v>
      </c>
      <c r="R316" s="45" t="s">
        <v>784</v>
      </c>
    </row>
    <row r="317" spans="1:18" ht="32.1" hidden="1" customHeight="1">
      <c r="A317" s="46">
        <v>20</v>
      </c>
      <c r="B317" s="45" t="s">
        <v>209</v>
      </c>
      <c r="C317" s="45" t="s">
        <v>211</v>
      </c>
      <c r="D317" s="45" t="s">
        <v>210</v>
      </c>
      <c r="E317" s="45" t="s">
        <v>1226</v>
      </c>
      <c r="F317" s="46" t="s">
        <v>798</v>
      </c>
      <c r="G317" s="46">
        <v>30</v>
      </c>
      <c r="H317" s="46">
        <v>6</v>
      </c>
      <c r="I317" s="46" t="s">
        <v>780</v>
      </c>
      <c r="J317" s="45" t="s">
        <v>1227</v>
      </c>
      <c r="K317" s="46" t="s">
        <v>819</v>
      </c>
      <c r="L317" s="45" t="s">
        <v>1219</v>
      </c>
      <c r="M317" s="46">
        <v>270</v>
      </c>
      <c r="N317" s="46" t="s">
        <v>1147</v>
      </c>
      <c r="O317" s="46">
        <v>1</v>
      </c>
      <c r="P317" s="45" t="s">
        <v>1220</v>
      </c>
      <c r="Q317" s="47" t="s">
        <v>776</v>
      </c>
      <c r="R317" s="45" t="s">
        <v>784</v>
      </c>
    </row>
    <row r="318" spans="1:18" ht="32.1" hidden="1" customHeight="1">
      <c r="A318" s="46">
        <v>20</v>
      </c>
      <c r="B318" s="45" t="s">
        <v>209</v>
      </c>
      <c r="C318" s="45" t="s">
        <v>211</v>
      </c>
      <c r="D318" s="45" t="s">
        <v>210</v>
      </c>
      <c r="E318" s="45" t="s">
        <v>1226</v>
      </c>
      <c r="F318" s="46" t="s">
        <v>798</v>
      </c>
      <c r="G318" s="46">
        <v>30</v>
      </c>
      <c r="H318" s="46">
        <v>7</v>
      </c>
      <c r="I318" s="46" t="s">
        <v>780</v>
      </c>
      <c r="J318" s="45" t="s">
        <v>1227</v>
      </c>
      <c r="K318" s="46" t="s">
        <v>821</v>
      </c>
      <c r="L318" s="45" t="s">
        <v>1219</v>
      </c>
      <c r="M318" s="46">
        <v>270</v>
      </c>
      <c r="N318" s="46" t="s">
        <v>1148</v>
      </c>
      <c r="O318" s="46">
        <v>1</v>
      </c>
      <c r="P318" s="45" t="s">
        <v>1220</v>
      </c>
      <c r="Q318" s="47" t="s">
        <v>776</v>
      </c>
      <c r="R318" s="45" t="s">
        <v>784</v>
      </c>
    </row>
    <row r="319" spans="1:18" ht="32.1" hidden="1" customHeight="1">
      <c r="A319" s="46">
        <v>20</v>
      </c>
      <c r="B319" s="45" t="s">
        <v>209</v>
      </c>
      <c r="C319" s="45" t="s">
        <v>211</v>
      </c>
      <c r="D319" s="45" t="s">
        <v>210</v>
      </c>
      <c r="E319" s="45" t="s">
        <v>1226</v>
      </c>
      <c r="F319" s="46" t="s">
        <v>798</v>
      </c>
      <c r="G319" s="46">
        <v>30</v>
      </c>
      <c r="H319" s="46">
        <v>8</v>
      </c>
      <c r="I319" s="46" t="s">
        <v>780</v>
      </c>
      <c r="J319" s="45" t="s">
        <v>1227</v>
      </c>
      <c r="K319" s="46" t="s">
        <v>795</v>
      </c>
      <c r="L319" s="45" t="s">
        <v>1219</v>
      </c>
      <c r="M319" s="46">
        <v>270</v>
      </c>
      <c r="N319" s="46" t="s">
        <v>1149</v>
      </c>
      <c r="O319" s="46">
        <v>1</v>
      </c>
      <c r="P319" s="45" t="s">
        <v>1220</v>
      </c>
      <c r="Q319" s="47" t="s">
        <v>776</v>
      </c>
      <c r="R319" s="45" t="s">
        <v>784</v>
      </c>
    </row>
    <row r="320" spans="1:18" ht="32.1" hidden="1" customHeight="1">
      <c r="A320" s="46">
        <v>20</v>
      </c>
      <c r="B320" s="45" t="s">
        <v>209</v>
      </c>
      <c r="C320" s="45" t="s">
        <v>211</v>
      </c>
      <c r="D320" s="45" t="s">
        <v>210</v>
      </c>
      <c r="E320" s="45" t="s">
        <v>1226</v>
      </c>
      <c r="F320" s="46" t="s">
        <v>798</v>
      </c>
      <c r="G320" s="46">
        <v>30</v>
      </c>
      <c r="H320" s="46">
        <v>9</v>
      </c>
      <c r="I320" s="46" t="s">
        <v>780</v>
      </c>
      <c r="J320" s="45" t="s">
        <v>1227</v>
      </c>
      <c r="K320" s="46" t="s">
        <v>824</v>
      </c>
      <c r="L320" s="45" t="s">
        <v>1219</v>
      </c>
      <c r="M320" s="46">
        <v>270</v>
      </c>
      <c r="N320" s="46" t="s">
        <v>1150</v>
      </c>
      <c r="O320" s="46">
        <v>1</v>
      </c>
      <c r="P320" s="45" t="s">
        <v>1220</v>
      </c>
      <c r="Q320" s="47" t="s">
        <v>776</v>
      </c>
      <c r="R320" s="45" t="s">
        <v>784</v>
      </c>
    </row>
    <row r="321" spans="1:18" ht="32.1" hidden="1" customHeight="1">
      <c r="A321" s="46">
        <v>20</v>
      </c>
      <c r="B321" s="45" t="s">
        <v>209</v>
      </c>
      <c r="C321" s="45" t="s">
        <v>211</v>
      </c>
      <c r="D321" s="45" t="s">
        <v>210</v>
      </c>
      <c r="E321" s="45" t="s">
        <v>1228</v>
      </c>
      <c r="F321" s="46" t="s">
        <v>786</v>
      </c>
      <c r="G321" s="46">
        <v>143</v>
      </c>
      <c r="H321" s="46">
        <v>1</v>
      </c>
      <c r="I321" s="46" t="s">
        <v>780</v>
      </c>
      <c r="J321" s="45" t="s">
        <v>805</v>
      </c>
      <c r="K321" s="46" t="s">
        <v>817</v>
      </c>
      <c r="L321" s="45" t="s">
        <v>1219</v>
      </c>
      <c r="M321" s="46">
        <v>289</v>
      </c>
      <c r="N321" s="46" t="s">
        <v>1089</v>
      </c>
      <c r="O321" s="46">
        <v>1</v>
      </c>
      <c r="P321" s="45" t="s">
        <v>1220</v>
      </c>
      <c r="Q321" s="47" t="s">
        <v>776</v>
      </c>
      <c r="R321" s="45" t="s">
        <v>784</v>
      </c>
    </row>
    <row r="322" spans="1:18" ht="32.1" hidden="1" customHeight="1">
      <c r="A322" s="46">
        <v>20</v>
      </c>
      <c r="B322" s="45" t="s">
        <v>209</v>
      </c>
      <c r="C322" s="45" t="s">
        <v>211</v>
      </c>
      <c r="D322" s="45" t="s">
        <v>210</v>
      </c>
      <c r="E322" s="45" t="s">
        <v>1229</v>
      </c>
      <c r="F322" s="46" t="s">
        <v>802</v>
      </c>
      <c r="G322" s="46">
        <v>448</v>
      </c>
      <c r="H322" s="46">
        <v>1</v>
      </c>
      <c r="I322" s="46" t="s">
        <v>780</v>
      </c>
      <c r="J322" s="45" t="s">
        <v>1230</v>
      </c>
      <c r="K322" s="46" t="s">
        <v>795</v>
      </c>
      <c r="L322" s="45" t="s">
        <v>1219</v>
      </c>
      <c r="M322" s="46">
        <v>292</v>
      </c>
      <c r="N322" s="46" t="s">
        <v>1231</v>
      </c>
      <c r="O322" s="46">
        <v>2</v>
      </c>
      <c r="P322" s="45" t="s">
        <v>1220</v>
      </c>
      <c r="Q322" s="47" t="s">
        <v>776</v>
      </c>
      <c r="R322" s="45" t="s">
        <v>784</v>
      </c>
    </row>
    <row r="323" spans="1:18" ht="32.1" hidden="1" customHeight="1">
      <c r="A323" s="46">
        <v>20</v>
      </c>
      <c r="B323" s="45" t="s">
        <v>209</v>
      </c>
      <c r="C323" s="45" t="s">
        <v>211</v>
      </c>
      <c r="D323" s="45" t="s">
        <v>210</v>
      </c>
      <c r="E323" s="45" t="s">
        <v>1229</v>
      </c>
      <c r="F323" s="46" t="s">
        <v>802</v>
      </c>
      <c r="G323" s="46">
        <v>448</v>
      </c>
      <c r="H323" s="46">
        <v>2</v>
      </c>
      <c r="I323" s="46" t="s">
        <v>780</v>
      </c>
      <c r="J323" s="45" t="s">
        <v>1230</v>
      </c>
      <c r="K323" s="46" t="s">
        <v>824</v>
      </c>
      <c r="L323" s="45" t="s">
        <v>1219</v>
      </c>
      <c r="M323" s="46">
        <v>292</v>
      </c>
      <c r="N323" s="46" t="s">
        <v>1232</v>
      </c>
      <c r="O323" s="46">
        <v>2</v>
      </c>
      <c r="P323" s="45" t="s">
        <v>1220</v>
      </c>
      <c r="Q323" s="47" t="s">
        <v>776</v>
      </c>
      <c r="R323" s="45" t="s">
        <v>784</v>
      </c>
    </row>
    <row r="324" spans="1:18" ht="32.1" hidden="1" customHeight="1">
      <c r="A324" s="46">
        <v>20</v>
      </c>
      <c r="B324" s="45" t="s">
        <v>209</v>
      </c>
      <c r="C324" s="45" t="s">
        <v>211</v>
      </c>
      <c r="D324" s="45" t="s">
        <v>210</v>
      </c>
      <c r="E324" s="45" t="s">
        <v>1229</v>
      </c>
      <c r="F324" s="46" t="s">
        <v>802</v>
      </c>
      <c r="G324" s="46">
        <v>448</v>
      </c>
      <c r="H324" s="46">
        <v>3</v>
      </c>
      <c r="I324" s="46" t="s">
        <v>780</v>
      </c>
      <c r="J324" s="45" t="s">
        <v>1230</v>
      </c>
      <c r="K324" s="46" t="s">
        <v>826</v>
      </c>
      <c r="L324" s="45" t="s">
        <v>1219</v>
      </c>
      <c r="M324" s="46">
        <v>292</v>
      </c>
      <c r="N324" s="46" t="s">
        <v>1233</v>
      </c>
      <c r="O324" s="46">
        <v>2</v>
      </c>
      <c r="P324" s="45" t="s">
        <v>1220</v>
      </c>
      <c r="Q324" s="47" t="s">
        <v>776</v>
      </c>
      <c r="R324" s="45" t="s">
        <v>784</v>
      </c>
    </row>
    <row r="325" spans="1:18" ht="32.1" hidden="1" customHeight="1">
      <c r="A325" s="46">
        <v>20</v>
      </c>
      <c r="B325" s="45" t="s">
        <v>209</v>
      </c>
      <c r="C325" s="45" t="s">
        <v>211</v>
      </c>
      <c r="D325" s="45" t="s">
        <v>210</v>
      </c>
      <c r="E325" s="45" t="s">
        <v>1229</v>
      </c>
      <c r="F325" s="46" t="s">
        <v>802</v>
      </c>
      <c r="G325" s="46">
        <v>448</v>
      </c>
      <c r="H325" s="46">
        <v>4</v>
      </c>
      <c r="I325" s="46" t="s">
        <v>780</v>
      </c>
      <c r="J325" s="45" t="s">
        <v>1230</v>
      </c>
      <c r="K325" s="46" t="s">
        <v>806</v>
      </c>
      <c r="L325" s="45" t="s">
        <v>1219</v>
      </c>
      <c r="M325" s="46">
        <v>292</v>
      </c>
      <c r="N325" s="46" t="s">
        <v>1234</v>
      </c>
      <c r="O325" s="46">
        <v>2</v>
      </c>
      <c r="P325" s="45" t="s">
        <v>1220</v>
      </c>
      <c r="Q325" s="47" t="s">
        <v>776</v>
      </c>
      <c r="R325" s="45" t="s">
        <v>784</v>
      </c>
    </row>
    <row r="326" spans="1:18" ht="32.1" hidden="1" customHeight="1">
      <c r="A326" s="46">
        <v>20</v>
      </c>
      <c r="B326" s="45" t="s">
        <v>209</v>
      </c>
      <c r="C326" s="45" t="s">
        <v>211</v>
      </c>
      <c r="D326" s="45" t="s">
        <v>210</v>
      </c>
      <c r="E326" s="45" t="s">
        <v>1235</v>
      </c>
      <c r="F326" s="46" t="s">
        <v>794</v>
      </c>
      <c r="G326" s="46">
        <v>368</v>
      </c>
      <c r="H326" s="46">
        <v>1</v>
      </c>
      <c r="I326" s="46" t="s">
        <v>780</v>
      </c>
      <c r="J326" s="45" t="s">
        <v>1230</v>
      </c>
      <c r="K326" s="46" t="s">
        <v>829</v>
      </c>
      <c r="L326" s="45" t="s">
        <v>1219</v>
      </c>
      <c r="M326" s="46">
        <v>306</v>
      </c>
      <c r="N326" s="46" t="s">
        <v>1236</v>
      </c>
      <c r="O326" s="46">
        <v>1</v>
      </c>
      <c r="P326" s="45" t="s">
        <v>1220</v>
      </c>
      <c r="Q326" s="47" t="s">
        <v>776</v>
      </c>
      <c r="R326" s="45" t="s">
        <v>784</v>
      </c>
    </row>
    <row r="327" spans="1:18" ht="32.1" hidden="1" customHeight="1">
      <c r="A327" s="46">
        <v>20</v>
      </c>
      <c r="B327" s="45" t="s">
        <v>209</v>
      </c>
      <c r="C327" s="45" t="s">
        <v>211</v>
      </c>
      <c r="D327" s="45" t="s">
        <v>210</v>
      </c>
      <c r="E327" s="45" t="s">
        <v>1235</v>
      </c>
      <c r="F327" s="46" t="s">
        <v>794</v>
      </c>
      <c r="G327" s="46">
        <v>368</v>
      </c>
      <c r="H327" s="46">
        <v>2</v>
      </c>
      <c r="I327" s="46" t="s">
        <v>780</v>
      </c>
      <c r="J327" s="45" t="s">
        <v>1230</v>
      </c>
      <c r="K327" s="46" t="s">
        <v>831</v>
      </c>
      <c r="L327" s="45" t="s">
        <v>1219</v>
      </c>
      <c r="M327" s="46">
        <v>306</v>
      </c>
      <c r="N327" s="46" t="s">
        <v>1237</v>
      </c>
      <c r="O327" s="46">
        <v>1</v>
      </c>
      <c r="P327" s="45" t="s">
        <v>1220</v>
      </c>
      <c r="Q327" s="47" t="s">
        <v>776</v>
      </c>
      <c r="R327" s="45" t="s">
        <v>784</v>
      </c>
    </row>
    <row r="328" spans="1:18" ht="32.1" hidden="1" customHeight="1">
      <c r="A328" s="46">
        <v>20</v>
      </c>
      <c r="B328" s="45" t="s">
        <v>209</v>
      </c>
      <c r="C328" s="45" t="s">
        <v>211</v>
      </c>
      <c r="D328" s="45" t="s">
        <v>210</v>
      </c>
      <c r="E328" s="45" t="s">
        <v>1235</v>
      </c>
      <c r="F328" s="46" t="s">
        <v>794</v>
      </c>
      <c r="G328" s="46">
        <v>368</v>
      </c>
      <c r="H328" s="46">
        <v>3</v>
      </c>
      <c r="I328" s="46" t="s">
        <v>780</v>
      </c>
      <c r="J328" s="45" t="s">
        <v>1230</v>
      </c>
      <c r="K328" s="46" t="s">
        <v>833</v>
      </c>
      <c r="L328" s="45" t="s">
        <v>1219</v>
      </c>
      <c r="M328" s="46">
        <v>306</v>
      </c>
      <c r="N328" s="46" t="s">
        <v>1238</v>
      </c>
      <c r="O328" s="46">
        <v>1</v>
      </c>
      <c r="P328" s="45" t="s">
        <v>1220</v>
      </c>
      <c r="Q328" s="47" t="s">
        <v>776</v>
      </c>
      <c r="R328" s="45" t="s">
        <v>784</v>
      </c>
    </row>
    <row r="329" spans="1:18" ht="32.1" hidden="1" customHeight="1">
      <c r="A329" s="46">
        <v>20</v>
      </c>
      <c r="B329" s="45" t="s">
        <v>209</v>
      </c>
      <c r="C329" s="45" t="s">
        <v>211</v>
      </c>
      <c r="D329" s="45" t="s">
        <v>210</v>
      </c>
      <c r="E329" s="45" t="s">
        <v>1235</v>
      </c>
      <c r="F329" s="46" t="s">
        <v>794</v>
      </c>
      <c r="G329" s="46">
        <v>368</v>
      </c>
      <c r="H329" s="46">
        <v>4</v>
      </c>
      <c r="I329" s="46" t="s">
        <v>780</v>
      </c>
      <c r="J329" s="45" t="s">
        <v>1230</v>
      </c>
      <c r="K329" s="46" t="s">
        <v>865</v>
      </c>
      <c r="L329" s="45" t="s">
        <v>1219</v>
      </c>
      <c r="M329" s="46">
        <v>306</v>
      </c>
      <c r="N329" s="46" t="s">
        <v>1239</v>
      </c>
      <c r="O329" s="46">
        <v>1</v>
      </c>
      <c r="P329" s="45" t="s">
        <v>1220</v>
      </c>
      <c r="Q329" s="47" t="s">
        <v>776</v>
      </c>
      <c r="R329" s="45" t="s">
        <v>784</v>
      </c>
    </row>
    <row r="330" spans="1:18" ht="32.1" hidden="1" customHeight="1">
      <c r="A330" s="46">
        <v>20</v>
      </c>
      <c r="B330" s="45" t="s">
        <v>209</v>
      </c>
      <c r="C330" s="45" t="s">
        <v>211</v>
      </c>
      <c r="D330" s="45" t="s">
        <v>210</v>
      </c>
      <c r="E330" s="45" t="s">
        <v>1240</v>
      </c>
      <c r="F330" s="46" t="s">
        <v>804</v>
      </c>
      <c r="G330" s="46">
        <v>812</v>
      </c>
      <c r="H330" s="46">
        <v>1</v>
      </c>
      <c r="I330" s="46" t="s">
        <v>780</v>
      </c>
      <c r="J330" s="45" t="s">
        <v>1094</v>
      </c>
      <c r="K330" s="46" t="s">
        <v>791</v>
      </c>
      <c r="L330" s="45" t="s">
        <v>1219</v>
      </c>
      <c r="M330" s="46">
        <v>320</v>
      </c>
      <c r="N330" s="46" t="s">
        <v>1095</v>
      </c>
      <c r="O330" s="46">
        <v>1</v>
      </c>
      <c r="P330" s="45" t="s">
        <v>1220</v>
      </c>
      <c r="Q330" s="47" t="s">
        <v>776</v>
      </c>
      <c r="R330" s="45" t="s">
        <v>784</v>
      </c>
    </row>
    <row r="331" spans="1:18" ht="32.1" hidden="1" customHeight="1">
      <c r="A331" s="46">
        <v>21</v>
      </c>
      <c r="B331" s="45" t="s">
        <v>218</v>
      </c>
      <c r="C331" s="45" t="s">
        <v>21</v>
      </c>
      <c r="D331" s="45" t="s">
        <v>219</v>
      </c>
      <c r="E331" s="45" t="s">
        <v>1241</v>
      </c>
      <c r="F331" s="46" t="s">
        <v>770</v>
      </c>
      <c r="G331" s="46">
        <v>48</v>
      </c>
      <c r="H331" s="46">
        <v>1</v>
      </c>
      <c r="I331" s="46" t="s">
        <v>780</v>
      </c>
      <c r="J331" s="45" t="s">
        <v>1242</v>
      </c>
      <c r="K331" s="46" t="s">
        <v>791</v>
      </c>
      <c r="L331" s="45" t="s">
        <v>1243</v>
      </c>
      <c r="M331" s="46">
        <v>1344</v>
      </c>
      <c r="N331" s="46" t="s">
        <v>1244</v>
      </c>
      <c r="O331" s="46">
        <v>1</v>
      </c>
      <c r="P331" s="45" t="s">
        <v>1245</v>
      </c>
      <c r="Q331" s="47" t="s">
        <v>776</v>
      </c>
      <c r="R331" s="45" t="s">
        <v>784</v>
      </c>
    </row>
    <row r="332" spans="1:18" ht="32.1" hidden="1" customHeight="1">
      <c r="A332" s="46">
        <v>21</v>
      </c>
      <c r="B332" s="45" t="s">
        <v>218</v>
      </c>
      <c r="C332" s="45" t="s">
        <v>21</v>
      </c>
      <c r="D332" s="45" t="s">
        <v>219</v>
      </c>
      <c r="E332" s="45" t="s">
        <v>1246</v>
      </c>
      <c r="F332" s="46" t="s">
        <v>842</v>
      </c>
      <c r="G332" s="46">
        <v>80</v>
      </c>
      <c r="H332" s="46">
        <v>1</v>
      </c>
      <c r="I332" s="46" t="s">
        <v>780</v>
      </c>
      <c r="J332" s="45" t="s">
        <v>1247</v>
      </c>
      <c r="K332" s="46" t="s">
        <v>791</v>
      </c>
      <c r="L332" s="45" t="s">
        <v>1243</v>
      </c>
      <c r="M332" s="46">
        <v>1345</v>
      </c>
      <c r="N332" s="46" t="s">
        <v>1248</v>
      </c>
      <c r="O332" s="46">
        <v>5</v>
      </c>
      <c r="P332" s="45" t="s">
        <v>1245</v>
      </c>
      <c r="Q332" s="47" t="s">
        <v>776</v>
      </c>
      <c r="R332" s="45" t="s">
        <v>784</v>
      </c>
    </row>
    <row r="333" spans="1:18" ht="32.1" hidden="1" customHeight="1">
      <c r="A333" s="46">
        <v>21</v>
      </c>
      <c r="B333" s="45" t="s">
        <v>218</v>
      </c>
      <c r="C333" s="45" t="s">
        <v>21</v>
      </c>
      <c r="D333" s="45" t="s">
        <v>219</v>
      </c>
      <c r="E333" s="45" t="s">
        <v>1249</v>
      </c>
      <c r="F333" s="46" t="s">
        <v>809</v>
      </c>
      <c r="G333" s="46">
        <v>436</v>
      </c>
      <c r="H333" s="46">
        <v>1</v>
      </c>
      <c r="I333" s="46" t="s">
        <v>780</v>
      </c>
      <c r="J333" s="45" t="s">
        <v>1250</v>
      </c>
      <c r="K333" s="46" t="s">
        <v>791</v>
      </c>
      <c r="L333" s="45" t="s">
        <v>1243</v>
      </c>
      <c r="M333" s="46">
        <v>1346</v>
      </c>
      <c r="N333" s="46" t="s">
        <v>1061</v>
      </c>
      <c r="O333" s="46">
        <v>1</v>
      </c>
      <c r="P333" s="45" t="s">
        <v>1245</v>
      </c>
      <c r="Q333" s="47" t="s">
        <v>776</v>
      </c>
      <c r="R333" s="45" t="s">
        <v>784</v>
      </c>
    </row>
    <row r="334" spans="1:18" ht="32.1" hidden="1" customHeight="1">
      <c r="A334" s="46">
        <v>21</v>
      </c>
      <c r="B334" s="45" t="s">
        <v>218</v>
      </c>
      <c r="C334" s="45" t="s">
        <v>21</v>
      </c>
      <c r="D334" s="45" t="s">
        <v>219</v>
      </c>
      <c r="E334" s="45" t="s">
        <v>1251</v>
      </c>
      <c r="F334" s="46" t="s">
        <v>848</v>
      </c>
      <c r="G334" s="46">
        <v>25</v>
      </c>
      <c r="H334" s="46">
        <v>1</v>
      </c>
      <c r="I334" s="46" t="s">
        <v>780</v>
      </c>
      <c r="J334" s="45" t="s">
        <v>1250</v>
      </c>
      <c r="K334" s="46" t="s">
        <v>782</v>
      </c>
      <c r="L334" s="45" t="s">
        <v>1243</v>
      </c>
      <c r="M334" s="46">
        <v>1347</v>
      </c>
      <c r="N334" s="46" t="s">
        <v>1063</v>
      </c>
      <c r="O334" s="46">
        <v>2</v>
      </c>
      <c r="P334" s="45" t="s">
        <v>1245</v>
      </c>
      <c r="Q334" s="47" t="s">
        <v>776</v>
      </c>
      <c r="R334" s="45" t="s">
        <v>784</v>
      </c>
    </row>
    <row r="335" spans="1:18" ht="32.1" hidden="1" customHeight="1">
      <c r="A335" s="46">
        <v>21</v>
      </c>
      <c r="B335" s="45" t="s">
        <v>218</v>
      </c>
      <c r="C335" s="45" t="s">
        <v>21</v>
      </c>
      <c r="D335" s="45" t="s">
        <v>219</v>
      </c>
      <c r="E335" s="45" t="s">
        <v>1252</v>
      </c>
      <c r="F335" s="46" t="s">
        <v>836</v>
      </c>
      <c r="G335" s="46">
        <v>295</v>
      </c>
      <c r="H335" s="46">
        <v>1</v>
      </c>
      <c r="I335" s="46" t="s">
        <v>780</v>
      </c>
      <c r="J335" s="45" t="s">
        <v>1060</v>
      </c>
      <c r="K335" s="46" t="s">
        <v>813</v>
      </c>
      <c r="L335" s="45" t="s">
        <v>1243</v>
      </c>
      <c r="M335" s="46">
        <v>1348</v>
      </c>
      <c r="N335" s="46" t="s">
        <v>1065</v>
      </c>
      <c r="O335" s="46">
        <v>2</v>
      </c>
      <c r="P335" s="45" t="s">
        <v>1245</v>
      </c>
      <c r="Q335" s="47" t="s">
        <v>776</v>
      </c>
      <c r="R335" s="45" t="s">
        <v>784</v>
      </c>
    </row>
    <row r="336" spans="1:18" ht="32.1" hidden="1" customHeight="1">
      <c r="A336" s="46">
        <v>21</v>
      </c>
      <c r="B336" s="45" t="s">
        <v>218</v>
      </c>
      <c r="C336" s="45" t="s">
        <v>21</v>
      </c>
      <c r="D336" s="45" t="s">
        <v>219</v>
      </c>
      <c r="E336" s="45" t="s">
        <v>1253</v>
      </c>
      <c r="F336" s="46" t="s">
        <v>798</v>
      </c>
      <c r="G336" s="46">
        <v>280</v>
      </c>
      <c r="H336" s="46">
        <v>1</v>
      </c>
      <c r="I336" s="46" t="s">
        <v>780</v>
      </c>
      <c r="J336" s="45" t="s">
        <v>1001</v>
      </c>
      <c r="K336" s="46" t="s">
        <v>791</v>
      </c>
      <c r="L336" s="45" t="s">
        <v>1243</v>
      </c>
      <c r="M336" s="46">
        <v>1350</v>
      </c>
      <c r="N336" s="46" t="s">
        <v>1039</v>
      </c>
      <c r="O336" s="46">
        <v>1</v>
      </c>
      <c r="P336" s="45" t="s">
        <v>1245</v>
      </c>
      <c r="Q336" s="47" t="s">
        <v>776</v>
      </c>
      <c r="R336" s="45" t="s">
        <v>784</v>
      </c>
    </row>
    <row r="337" spans="1:18" ht="32.1" hidden="1" customHeight="1">
      <c r="A337" s="46">
        <v>21</v>
      </c>
      <c r="B337" s="45" t="s">
        <v>218</v>
      </c>
      <c r="C337" s="45" t="s">
        <v>21</v>
      </c>
      <c r="D337" s="45" t="s">
        <v>219</v>
      </c>
      <c r="E337" s="45" t="s">
        <v>1254</v>
      </c>
      <c r="F337" s="46" t="s">
        <v>786</v>
      </c>
      <c r="G337" s="46">
        <v>1277</v>
      </c>
      <c r="H337" s="46">
        <v>1</v>
      </c>
      <c r="I337" s="46" t="s">
        <v>780</v>
      </c>
      <c r="J337" s="45" t="s">
        <v>1001</v>
      </c>
      <c r="K337" s="46" t="s">
        <v>782</v>
      </c>
      <c r="L337" s="45" t="s">
        <v>1243</v>
      </c>
      <c r="M337" s="46">
        <v>1351</v>
      </c>
      <c r="N337" s="46" t="s">
        <v>1255</v>
      </c>
      <c r="O337" s="46">
        <v>2</v>
      </c>
      <c r="P337" s="45" t="s">
        <v>1245</v>
      </c>
      <c r="Q337" s="47" t="s">
        <v>776</v>
      </c>
      <c r="R337" s="45" t="s">
        <v>784</v>
      </c>
    </row>
    <row r="338" spans="1:18" ht="32.1" hidden="1" customHeight="1">
      <c r="A338" s="46">
        <v>21</v>
      </c>
      <c r="B338" s="45" t="s">
        <v>218</v>
      </c>
      <c r="C338" s="45" t="s">
        <v>21</v>
      </c>
      <c r="D338" s="45" t="s">
        <v>219</v>
      </c>
      <c r="E338" s="45" t="s">
        <v>1256</v>
      </c>
      <c r="F338" s="46" t="s">
        <v>802</v>
      </c>
      <c r="G338" s="46">
        <v>168</v>
      </c>
      <c r="H338" s="46">
        <v>1</v>
      </c>
      <c r="I338" s="46" t="s">
        <v>780</v>
      </c>
      <c r="J338" s="45" t="s">
        <v>1001</v>
      </c>
      <c r="K338" s="46" t="s">
        <v>813</v>
      </c>
      <c r="L338" s="45" t="s">
        <v>1243</v>
      </c>
      <c r="M338" s="46">
        <v>1352</v>
      </c>
      <c r="N338" s="46" t="s">
        <v>1257</v>
      </c>
      <c r="O338" s="46">
        <v>2</v>
      </c>
      <c r="P338" s="45" t="s">
        <v>1245</v>
      </c>
      <c r="Q338" s="47" t="s">
        <v>776</v>
      </c>
      <c r="R338" s="45" t="s">
        <v>784</v>
      </c>
    </row>
    <row r="339" spans="1:18" ht="32.1" hidden="1" customHeight="1">
      <c r="A339" s="46">
        <v>21</v>
      </c>
      <c r="B339" s="45" t="s">
        <v>218</v>
      </c>
      <c r="C339" s="45" t="s">
        <v>21</v>
      </c>
      <c r="D339" s="45" t="s">
        <v>219</v>
      </c>
      <c r="E339" s="45" t="s">
        <v>1258</v>
      </c>
      <c r="F339" s="46" t="s">
        <v>794</v>
      </c>
      <c r="G339" s="46">
        <v>671</v>
      </c>
      <c r="H339" s="46">
        <v>1</v>
      </c>
      <c r="I339" s="46" t="s">
        <v>780</v>
      </c>
      <c r="J339" s="45" t="s">
        <v>1001</v>
      </c>
      <c r="K339" s="46" t="s">
        <v>815</v>
      </c>
      <c r="L339" s="45" t="s">
        <v>1243</v>
      </c>
      <c r="M339" s="46">
        <v>1353</v>
      </c>
      <c r="N339" s="46" t="s">
        <v>1259</v>
      </c>
      <c r="O339" s="46">
        <v>2</v>
      </c>
      <c r="P339" s="45" t="s">
        <v>1245</v>
      </c>
      <c r="Q339" s="47" t="s">
        <v>776</v>
      </c>
      <c r="R339" s="45" t="s">
        <v>784</v>
      </c>
    </row>
    <row r="340" spans="1:18" ht="32.1" hidden="1" customHeight="1">
      <c r="A340" s="46">
        <v>21</v>
      </c>
      <c r="B340" s="45" t="s">
        <v>218</v>
      </c>
      <c r="C340" s="45" t="s">
        <v>21</v>
      </c>
      <c r="D340" s="45" t="s">
        <v>219</v>
      </c>
      <c r="E340" s="45" t="s">
        <v>1260</v>
      </c>
      <c r="F340" s="46" t="s">
        <v>804</v>
      </c>
      <c r="G340" s="46">
        <v>516</v>
      </c>
      <c r="H340" s="46">
        <v>1</v>
      </c>
      <c r="I340" s="46" t="s">
        <v>780</v>
      </c>
      <c r="J340" s="45" t="s">
        <v>1001</v>
      </c>
      <c r="K340" s="46" t="s">
        <v>795</v>
      </c>
      <c r="L340" s="45" t="s">
        <v>1243</v>
      </c>
      <c r="M340" s="46">
        <v>1354</v>
      </c>
      <c r="N340" s="46" t="s">
        <v>1087</v>
      </c>
      <c r="O340" s="46">
        <v>2</v>
      </c>
      <c r="P340" s="45" t="s">
        <v>1245</v>
      </c>
      <c r="Q340" s="47" t="s">
        <v>776</v>
      </c>
      <c r="R340" s="45" t="s">
        <v>784</v>
      </c>
    </row>
    <row r="341" spans="1:18" ht="32.1" hidden="1" customHeight="1">
      <c r="A341" s="46">
        <v>21</v>
      </c>
      <c r="B341" s="45" t="s">
        <v>218</v>
      </c>
      <c r="C341" s="45" t="s">
        <v>21</v>
      </c>
      <c r="D341" s="45" t="s">
        <v>219</v>
      </c>
      <c r="E341" s="45" t="s">
        <v>1261</v>
      </c>
      <c r="F341" s="46" t="s">
        <v>883</v>
      </c>
      <c r="G341" s="46">
        <v>64</v>
      </c>
      <c r="H341" s="46">
        <v>1</v>
      </c>
      <c r="I341" s="46" t="s">
        <v>780</v>
      </c>
      <c r="J341" s="45" t="s">
        <v>1262</v>
      </c>
      <c r="K341" s="46" t="s">
        <v>791</v>
      </c>
      <c r="L341" s="45" t="s">
        <v>1243</v>
      </c>
      <c r="M341" s="46">
        <v>1355</v>
      </c>
      <c r="N341" s="46" t="s">
        <v>1263</v>
      </c>
      <c r="O341" s="46">
        <v>1</v>
      </c>
      <c r="P341" s="45" t="s">
        <v>1245</v>
      </c>
      <c r="Q341" s="47" t="s">
        <v>776</v>
      </c>
      <c r="R341" s="45" t="s">
        <v>784</v>
      </c>
    </row>
    <row r="342" spans="1:18" ht="32.1" hidden="1" customHeight="1">
      <c r="A342" s="46">
        <v>21</v>
      </c>
      <c r="B342" s="45" t="s">
        <v>218</v>
      </c>
      <c r="C342" s="45" t="s">
        <v>21</v>
      </c>
      <c r="D342" s="45" t="s">
        <v>219</v>
      </c>
      <c r="E342" s="45" t="s">
        <v>1264</v>
      </c>
      <c r="F342" s="46" t="s">
        <v>879</v>
      </c>
      <c r="G342" s="46">
        <v>308</v>
      </c>
      <c r="H342" s="46">
        <v>1</v>
      </c>
      <c r="I342" s="46" t="s">
        <v>780</v>
      </c>
      <c r="J342" s="45" t="s">
        <v>1265</v>
      </c>
      <c r="K342" s="46" t="s">
        <v>926</v>
      </c>
      <c r="L342" s="45" t="s">
        <v>1243</v>
      </c>
      <c r="M342" s="46">
        <v>1358</v>
      </c>
      <c r="N342" s="46" t="s">
        <v>1266</v>
      </c>
      <c r="O342" s="46">
        <v>1</v>
      </c>
      <c r="P342" s="45" t="s">
        <v>1245</v>
      </c>
      <c r="Q342" s="47" t="s">
        <v>776</v>
      </c>
      <c r="R342" s="45" t="s">
        <v>784</v>
      </c>
    </row>
    <row r="343" spans="1:18" ht="32.1" hidden="1" customHeight="1">
      <c r="A343" s="46">
        <v>21</v>
      </c>
      <c r="B343" s="45" t="s">
        <v>218</v>
      </c>
      <c r="C343" s="45" t="s">
        <v>21</v>
      </c>
      <c r="D343" s="45" t="s">
        <v>219</v>
      </c>
      <c r="E343" s="45" t="s">
        <v>1267</v>
      </c>
      <c r="F343" s="46" t="s">
        <v>887</v>
      </c>
      <c r="G343" s="46">
        <v>821</v>
      </c>
      <c r="H343" s="46">
        <v>1</v>
      </c>
      <c r="I343" s="46" t="s">
        <v>780</v>
      </c>
      <c r="J343" s="45" t="s">
        <v>1094</v>
      </c>
      <c r="K343" s="46" t="s">
        <v>791</v>
      </c>
      <c r="L343" s="45" t="s">
        <v>1243</v>
      </c>
      <c r="M343" s="46">
        <v>1359</v>
      </c>
      <c r="N343" s="46" t="s">
        <v>1095</v>
      </c>
      <c r="O343" s="46">
        <v>1</v>
      </c>
      <c r="P343" s="45" t="s">
        <v>1245</v>
      </c>
      <c r="Q343" s="47" t="s">
        <v>776</v>
      </c>
      <c r="R343" s="45" t="s">
        <v>784</v>
      </c>
    </row>
    <row r="344" spans="1:18" ht="32.1" customHeight="1">
      <c r="A344" s="48">
        <v>21</v>
      </c>
      <c r="B344" s="49" t="s">
        <v>218</v>
      </c>
      <c r="C344" s="49" t="s">
        <v>21</v>
      </c>
      <c r="D344" s="49" t="s">
        <v>219</v>
      </c>
      <c r="E344" s="49" t="s">
        <v>1268</v>
      </c>
      <c r="F344" s="48" t="s">
        <v>895</v>
      </c>
      <c r="G344" s="48">
        <v>4</v>
      </c>
      <c r="H344" s="48">
        <v>1</v>
      </c>
      <c r="I344" s="48" t="s">
        <v>780</v>
      </c>
      <c r="J344" s="49" t="s">
        <v>1269</v>
      </c>
      <c r="K344" s="48" t="s">
        <v>782</v>
      </c>
      <c r="L344" s="49" t="s">
        <v>1243</v>
      </c>
      <c r="M344" s="48">
        <v>1360</v>
      </c>
      <c r="N344" s="48" t="s">
        <v>1270</v>
      </c>
      <c r="O344" s="48">
        <v>1</v>
      </c>
      <c r="P344" s="49" t="s">
        <v>1245</v>
      </c>
      <c r="Q344" s="51" t="s">
        <v>938</v>
      </c>
      <c r="R344" s="49" t="s">
        <v>1271</v>
      </c>
    </row>
    <row r="345" spans="1:18" ht="32.1" hidden="1" customHeight="1">
      <c r="A345" s="48">
        <v>21</v>
      </c>
      <c r="B345" s="49" t="s">
        <v>218</v>
      </c>
      <c r="C345" s="49" t="s">
        <v>21</v>
      </c>
      <c r="D345" s="49" t="s">
        <v>219</v>
      </c>
      <c r="E345" s="49" t="s">
        <v>838</v>
      </c>
      <c r="F345" s="48" t="s">
        <v>891</v>
      </c>
      <c r="G345" s="48">
        <v>0</v>
      </c>
      <c r="H345" s="48">
        <v>1</v>
      </c>
      <c r="I345" s="48" t="s">
        <v>780</v>
      </c>
      <c r="J345" s="49" t="s">
        <v>1272</v>
      </c>
      <c r="K345" s="48" t="s">
        <v>791</v>
      </c>
      <c r="L345" s="49" t="s">
        <v>1243</v>
      </c>
      <c r="M345" s="48">
        <v>1361</v>
      </c>
      <c r="N345" s="48" t="s">
        <v>1273</v>
      </c>
      <c r="O345" s="48">
        <v>1</v>
      </c>
      <c r="P345" s="49" t="s">
        <v>1245</v>
      </c>
      <c r="Q345" s="50" t="s">
        <v>851</v>
      </c>
      <c r="R345" s="49" t="s">
        <v>1274</v>
      </c>
    </row>
    <row r="346" spans="1:18" ht="32.1" hidden="1" customHeight="1">
      <c r="A346" s="46">
        <v>21</v>
      </c>
      <c r="B346" s="45" t="s">
        <v>218</v>
      </c>
      <c r="C346" s="45" t="s">
        <v>21</v>
      </c>
      <c r="D346" s="45" t="s">
        <v>219</v>
      </c>
      <c r="E346" s="45" t="s">
        <v>1275</v>
      </c>
      <c r="F346" s="46" t="s">
        <v>898</v>
      </c>
      <c r="G346" s="46">
        <v>440</v>
      </c>
      <c r="H346" s="46">
        <v>1</v>
      </c>
      <c r="I346" s="46" t="s">
        <v>780</v>
      </c>
      <c r="J346" s="45" t="s">
        <v>1001</v>
      </c>
      <c r="K346" s="46" t="s">
        <v>813</v>
      </c>
      <c r="L346" s="45" t="s">
        <v>1243</v>
      </c>
      <c r="M346" s="46">
        <v>1362</v>
      </c>
      <c r="N346" s="46" t="s">
        <v>1257</v>
      </c>
      <c r="O346" s="46">
        <v>2</v>
      </c>
      <c r="P346" s="45" t="s">
        <v>1245</v>
      </c>
      <c r="Q346" s="47" t="s">
        <v>776</v>
      </c>
      <c r="R346" s="45" t="s">
        <v>784</v>
      </c>
    </row>
    <row r="347" spans="1:18" ht="32.1" hidden="1" customHeight="1">
      <c r="A347" s="46">
        <v>21</v>
      </c>
      <c r="B347" s="45" t="s">
        <v>218</v>
      </c>
      <c r="C347" s="45" t="s">
        <v>21</v>
      </c>
      <c r="D347" s="45" t="s">
        <v>219</v>
      </c>
      <c r="E347" s="45" t="s">
        <v>1252</v>
      </c>
      <c r="F347" s="46" t="s">
        <v>836</v>
      </c>
      <c r="G347" s="46">
        <v>295</v>
      </c>
      <c r="H347" s="46">
        <v>1</v>
      </c>
      <c r="I347" s="46" t="s">
        <v>780</v>
      </c>
      <c r="J347" s="45" t="s">
        <v>1250</v>
      </c>
      <c r="K347" s="46" t="s">
        <v>813</v>
      </c>
      <c r="L347" s="45" t="s">
        <v>1243</v>
      </c>
      <c r="M347" s="46">
        <v>1363</v>
      </c>
      <c r="N347" s="46" t="s">
        <v>1065</v>
      </c>
      <c r="O347" s="46">
        <v>2</v>
      </c>
      <c r="P347" s="45" t="s">
        <v>1245</v>
      </c>
      <c r="Q347" s="47" t="s">
        <v>776</v>
      </c>
      <c r="R347" s="45" t="s">
        <v>784</v>
      </c>
    </row>
    <row r="348" spans="1:18" ht="32.1" hidden="1" customHeight="1">
      <c r="A348" s="46">
        <v>21</v>
      </c>
      <c r="B348" s="45" t="s">
        <v>218</v>
      </c>
      <c r="C348" s="45" t="s">
        <v>21</v>
      </c>
      <c r="D348" s="45" t="s">
        <v>219</v>
      </c>
      <c r="E348" s="45" t="s">
        <v>1276</v>
      </c>
      <c r="F348" s="46" t="s">
        <v>901</v>
      </c>
      <c r="G348" s="46">
        <v>144</v>
      </c>
      <c r="H348" s="46">
        <v>1</v>
      </c>
      <c r="I348" s="46" t="s">
        <v>780</v>
      </c>
      <c r="J348" s="45" t="s">
        <v>1001</v>
      </c>
      <c r="K348" s="46" t="s">
        <v>815</v>
      </c>
      <c r="L348" s="45" t="s">
        <v>1243</v>
      </c>
      <c r="M348" s="46">
        <v>1371</v>
      </c>
      <c r="N348" s="46" t="s">
        <v>1259</v>
      </c>
      <c r="O348" s="46">
        <v>2</v>
      </c>
      <c r="P348" s="45" t="s">
        <v>1245</v>
      </c>
      <c r="Q348" s="47" t="s">
        <v>776</v>
      </c>
      <c r="R348" s="45" t="s">
        <v>784</v>
      </c>
    </row>
    <row r="349" spans="1:18" ht="32.1" hidden="1" customHeight="1">
      <c r="A349" s="46">
        <v>22</v>
      </c>
      <c r="B349" s="45" t="s">
        <v>229</v>
      </c>
      <c r="C349" s="45" t="s">
        <v>18</v>
      </c>
      <c r="D349" s="45" t="s">
        <v>230</v>
      </c>
      <c r="E349" s="45" t="s">
        <v>1277</v>
      </c>
      <c r="F349" s="46" t="s">
        <v>770</v>
      </c>
      <c r="G349" s="46">
        <v>10</v>
      </c>
      <c r="H349" s="46">
        <v>1</v>
      </c>
      <c r="I349" s="46" t="s">
        <v>780</v>
      </c>
      <c r="J349" s="45" t="s">
        <v>799</v>
      </c>
      <c r="K349" s="46" t="s">
        <v>926</v>
      </c>
      <c r="L349" s="45" t="s">
        <v>1278</v>
      </c>
      <c r="M349" s="46">
        <v>166</v>
      </c>
      <c r="N349" s="46" t="s">
        <v>1022</v>
      </c>
      <c r="O349" s="46">
        <v>1</v>
      </c>
      <c r="P349" s="45" t="s">
        <v>1279</v>
      </c>
      <c r="Q349" s="47" t="s">
        <v>776</v>
      </c>
      <c r="R349" s="45" t="s">
        <v>784</v>
      </c>
    </row>
    <row r="350" spans="1:18" ht="32.1" hidden="1" customHeight="1">
      <c r="A350" s="46">
        <v>22</v>
      </c>
      <c r="B350" s="45" t="s">
        <v>229</v>
      </c>
      <c r="C350" s="45" t="s">
        <v>18</v>
      </c>
      <c r="D350" s="45" t="s">
        <v>230</v>
      </c>
      <c r="E350" s="45" t="s">
        <v>1277</v>
      </c>
      <c r="F350" s="46" t="s">
        <v>842</v>
      </c>
      <c r="G350" s="46">
        <v>10</v>
      </c>
      <c r="H350" s="46">
        <v>1</v>
      </c>
      <c r="I350" s="46" t="s">
        <v>780</v>
      </c>
      <c r="J350" s="45" t="s">
        <v>1280</v>
      </c>
      <c r="K350" s="46" t="s">
        <v>926</v>
      </c>
      <c r="L350" s="45" t="s">
        <v>1278</v>
      </c>
      <c r="M350" s="46">
        <v>167</v>
      </c>
      <c r="N350" s="46" t="s">
        <v>1281</v>
      </c>
      <c r="O350" s="46">
        <v>2</v>
      </c>
      <c r="P350" s="45" t="s">
        <v>1279</v>
      </c>
      <c r="Q350" s="47" t="s">
        <v>776</v>
      </c>
      <c r="R350" s="45" t="s">
        <v>784</v>
      </c>
    </row>
    <row r="351" spans="1:18" ht="32.1" hidden="1" customHeight="1">
      <c r="A351" s="46">
        <v>22</v>
      </c>
      <c r="B351" s="45" t="s">
        <v>229</v>
      </c>
      <c r="C351" s="45" t="s">
        <v>18</v>
      </c>
      <c r="D351" s="45" t="s">
        <v>230</v>
      </c>
      <c r="E351" s="45" t="s">
        <v>1282</v>
      </c>
      <c r="F351" s="46" t="s">
        <v>809</v>
      </c>
      <c r="G351" s="46">
        <v>304</v>
      </c>
      <c r="H351" s="46">
        <v>1</v>
      </c>
      <c r="I351" s="46" t="s">
        <v>780</v>
      </c>
      <c r="J351" s="45" t="s">
        <v>781</v>
      </c>
      <c r="K351" s="46" t="s">
        <v>791</v>
      </c>
      <c r="L351" s="45" t="s">
        <v>1278</v>
      </c>
      <c r="M351" s="46">
        <v>168</v>
      </c>
      <c r="N351" s="46" t="s">
        <v>1283</v>
      </c>
      <c r="O351" s="46">
        <v>1</v>
      </c>
      <c r="P351" s="45" t="s">
        <v>1279</v>
      </c>
      <c r="Q351" s="47" t="s">
        <v>776</v>
      </c>
      <c r="R351" s="45" t="s">
        <v>784</v>
      </c>
    </row>
    <row r="352" spans="1:18" ht="32.1" hidden="1" customHeight="1">
      <c r="A352" s="46">
        <v>22</v>
      </c>
      <c r="B352" s="45" t="s">
        <v>229</v>
      </c>
      <c r="C352" s="45" t="s">
        <v>18</v>
      </c>
      <c r="D352" s="45" t="s">
        <v>230</v>
      </c>
      <c r="E352" s="45" t="s">
        <v>1284</v>
      </c>
      <c r="F352" s="46" t="s">
        <v>848</v>
      </c>
      <c r="G352" s="46">
        <v>275</v>
      </c>
      <c r="H352" s="46">
        <v>1</v>
      </c>
      <c r="I352" s="46" t="s">
        <v>780</v>
      </c>
      <c r="J352" s="45" t="s">
        <v>810</v>
      </c>
      <c r="K352" s="46" t="s">
        <v>791</v>
      </c>
      <c r="L352" s="45" t="s">
        <v>1278</v>
      </c>
      <c r="M352" s="46">
        <v>177</v>
      </c>
      <c r="N352" s="46" t="s">
        <v>811</v>
      </c>
      <c r="O352" s="46">
        <v>1</v>
      </c>
      <c r="P352" s="45" t="s">
        <v>1279</v>
      </c>
      <c r="Q352" s="47" t="s">
        <v>776</v>
      </c>
      <c r="R352" s="45" t="s">
        <v>784</v>
      </c>
    </row>
    <row r="353" spans="1:18" ht="32.1" hidden="1" customHeight="1">
      <c r="A353" s="46">
        <v>22</v>
      </c>
      <c r="B353" s="45" t="s">
        <v>229</v>
      </c>
      <c r="C353" s="45" t="s">
        <v>18</v>
      </c>
      <c r="D353" s="45" t="s">
        <v>230</v>
      </c>
      <c r="E353" s="45" t="s">
        <v>1284</v>
      </c>
      <c r="F353" s="46" t="s">
        <v>848</v>
      </c>
      <c r="G353" s="46">
        <v>275</v>
      </c>
      <c r="H353" s="46">
        <v>1</v>
      </c>
      <c r="I353" s="46" t="s">
        <v>780</v>
      </c>
      <c r="J353" s="45" t="s">
        <v>810</v>
      </c>
      <c r="K353" s="46" t="s">
        <v>782</v>
      </c>
      <c r="L353" s="45" t="s">
        <v>1278</v>
      </c>
      <c r="M353" s="46">
        <v>177</v>
      </c>
      <c r="N353" s="46" t="s">
        <v>812</v>
      </c>
      <c r="O353" s="46">
        <v>1</v>
      </c>
      <c r="P353" s="45" t="s">
        <v>1279</v>
      </c>
      <c r="Q353" s="47" t="s">
        <v>776</v>
      </c>
      <c r="R353" s="45" t="s">
        <v>784</v>
      </c>
    </row>
    <row r="354" spans="1:18" ht="32.1" hidden="1" customHeight="1">
      <c r="A354" s="46">
        <v>22</v>
      </c>
      <c r="B354" s="45" t="s">
        <v>229</v>
      </c>
      <c r="C354" s="45" t="s">
        <v>18</v>
      </c>
      <c r="D354" s="45" t="s">
        <v>230</v>
      </c>
      <c r="E354" s="45" t="s">
        <v>1284</v>
      </c>
      <c r="F354" s="46" t="s">
        <v>848</v>
      </c>
      <c r="G354" s="46">
        <v>275</v>
      </c>
      <c r="H354" s="46">
        <v>1</v>
      </c>
      <c r="I354" s="46" t="s">
        <v>780</v>
      </c>
      <c r="J354" s="45" t="s">
        <v>810</v>
      </c>
      <c r="K354" s="46" t="s">
        <v>813</v>
      </c>
      <c r="L354" s="45" t="s">
        <v>1278</v>
      </c>
      <c r="M354" s="46">
        <v>177</v>
      </c>
      <c r="N354" s="46" t="s">
        <v>814</v>
      </c>
      <c r="O354" s="46">
        <v>1</v>
      </c>
      <c r="P354" s="45" t="s">
        <v>1279</v>
      </c>
      <c r="Q354" s="47" t="s">
        <v>776</v>
      </c>
      <c r="R354" s="45" t="s">
        <v>784</v>
      </c>
    </row>
    <row r="355" spans="1:18" ht="32.1" hidden="1" customHeight="1">
      <c r="A355" s="46">
        <v>22</v>
      </c>
      <c r="B355" s="45" t="s">
        <v>229</v>
      </c>
      <c r="C355" s="45" t="s">
        <v>18</v>
      </c>
      <c r="D355" s="45" t="s">
        <v>230</v>
      </c>
      <c r="E355" s="45" t="s">
        <v>1284</v>
      </c>
      <c r="F355" s="46" t="s">
        <v>848</v>
      </c>
      <c r="G355" s="46">
        <v>275</v>
      </c>
      <c r="H355" s="46">
        <v>1</v>
      </c>
      <c r="I355" s="46" t="s">
        <v>780</v>
      </c>
      <c r="J355" s="45" t="s">
        <v>810</v>
      </c>
      <c r="K355" s="46" t="s">
        <v>815</v>
      </c>
      <c r="L355" s="45" t="s">
        <v>1278</v>
      </c>
      <c r="M355" s="46">
        <v>177</v>
      </c>
      <c r="N355" s="46" t="s">
        <v>816</v>
      </c>
      <c r="O355" s="46">
        <v>1</v>
      </c>
      <c r="P355" s="45" t="s">
        <v>1279</v>
      </c>
      <c r="Q355" s="47" t="s">
        <v>776</v>
      </c>
      <c r="R355" s="45" t="s">
        <v>784</v>
      </c>
    </row>
    <row r="356" spans="1:18" ht="32.1" hidden="1" customHeight="1">
      <c r="A356" s="46">
        <v>22</v>
      </c>
      <c r="B356" s="45" t="s">
        <v>229</v>
      </c>
      <c r="C356" s="45" t="s">
        <v>18</v>
      </c>
      <c r="D356" s="45" t="s">
        <v>230</v>
      </c>
      <c r="E356" s="45" t="s">
        <v>1284</v>
      </c>
      <c r="F356" s="46" t="s">
        <v>848</v>
      </c>
      <c r="G356" s="46">
        <v>275</v>
      </c>
      <c r="H356" s="46">
        <v>1</v>
      </c>
      <c r="I356" s="46" t="s">
        <v>780</v>
      </c>
      <c r="J356" s="45" t="s">
        <v>810</v>
      </c>
      <c r="K356" s="46" t="s">
        <v>817</v>
      </c>
      <c r="L356" s="45" t="s">
        <v>1278</v>
      </c>
      <c r="M356" s="46">
        <v>177</v>
      </c>
      <c r="N356" s="46" t="s">
        <v>818</v>
      </c>
      <c r="O356" s="46">
        <v>1</v>
      </c>
      <c r="P356" s="45" t="s">
        <v>1279</v>
      </c>
      <c r="Q356" s="47" t="s">
        <v>776</v>
      </c>
      <c r="R356" s="45" t="s">
        <v>784</v>
      </c>
    </row>
    <row r="357" spans="1:18" ht="32.1" hidden="1" customHeight="1">
      <c r="A357" s="46">
        <v>22</v>
      </c>
      <c r="B357" s="45" t="s">
        <v>229</v>
      </c>
      <c r="C357" s="45" t="s">
        <v>18</v>
      </c>
      <c r="D357" s="45" t="s">
        <v>230</v>
      </c>
      <c r="E357" s="45" t="s">
        <v>1284</v>
      </c>
      <c r="F357" s="46" t="s">
        <v>848</v>
      </c>
      <c r="G357" s="46">
        <v>275</v>
      </c>
      <c r="H357" s="46">
        <v>1</v>
      </c>
      <c r="I357" s="46" t="s">
        <v>780</v>
      </c>
      <c r="J357" s="45" t="s">
        <v>810</v>
      </c>
      <c r="K357" s="46" t="s">
        <v>819</v>
      </c>
      <c r="L357" s="45" t="s">
        <v>1278</v>
      </c>
      <c r="M357" s="46">
        <v>177</v>
      </c>
      <c r="N357" s="46" t="s">
        <v>820</v>
      </c>
      <c r="O357" s="46">
        <v>1</v>
      </c>
      <c r="P357" s="45" t="s">
        <v>1279</v>
      </c>
      <c r="Q357" s="47" t="s">
        <v>776</v>
      </c>
      <c r="R357" s="45" t="s">
        <v>784</v>
      </c>
    </row>
    <row r="358" spans="1:18" ht="32.1" hidden="1" customHeight="1">
      <c r="A358" s="46">
        <v>22</v>
      </c>
      <c r="B358" s="45" t="s">
        <v>229</v>
      </c>
      <c r="C358" s="45" t="s">
        <v>18</v>
      </c>
      <c r="D358" s="45" t="s">
        <v>230</v>
      </c>
      <c r="E358" s="45" t="s">
        <v>1284</v>
      </c>
      <c r="F358" s="46" t="s">
        <v>848</v>
      </c>
      <c r="G358" s="46">
        <v>275</v>
      </c>
      <c r="H358" s="46">
        <v>1</v>
      </c>
      <c r="I358" s="46" t="s">
        <v>780</v>
      </c>
      <c r="J358" s="45" t="s">
        <v>810</v>
      </c>
      <c r="K358" s="46" t="s">
        <v>821</v>
      </c>
      <c r="L358" s="45" t="s">
        <v>1278</v>
      </c>
      <c r="M358" s="46">
        <v>177</v>
      </c>
      <c r="N358" s="46" t="s">
        <v>822</v>
      </c>
      <c r="O358" s="46">
        <v>1</v>
      </c>
      <c r="P358" s="45" t="s">
        <v>1279</v>
      </c>
      <c r="Q358" s="47" t="s">
        <v>776</v>
      </c>
      <c r="R358" s="45" t="s">
        <v>784</v>
      </c>
    </row>
    <row r="359" spans="1:18" ht="32.1" hidden="1" customHeight="1">
      <c r="A359" s="46">
        <v>22</v>
      </c>
      <c r="B359" s="45" t="s">
        <v>229</v>
      </c>
      <c r="C359" s="45" t="s">
        <v>18</v>
      </c>
      <c r="D359" s="45" t="s">
        <v>230</v>
      </c>
      <c r="E359" s="45" t="s">
        <v>1284</v>
      </c>
      <c r="F359" s="46" t="s">
        <v>848</v>
      </c>
      <c r="G359" s="46">
        <v>275</v>
      </c>
      <c r="H359" s="46">
        <v>1</v>
      </c>
      <c r="I359" s="46" t="s">
        <v>780</v>
      </c>
      <c r="J359" s="45" t="s">
        <v>810</v>
      </c>
      <c r="K359" s="46" t="s">
        <v>795</v>
      </c>
      <c r="L359" s="45" t="s">
        <v>1278</v>
      </c>
      <c r="M359" s="46">
        <v>177</v>
      </c>
      <c r="N359" s="46" t="s">
        <v>823</v>
      </c>
      <c r="O359" s="46">
        <v>1</v>
      </c>
      <c r="P359" s="45" t="s">
        <v>1279</v>
      </c>
      <c r="Q359" s="47" t="s">
        <v>776</v>
      </c>
      <c r="R359" s="45" t="s">
        <v>784</v>
      </c>
    </row>
    <row r="360" spans="1:18" ht="32.1" hidden="1" customHeight="1">
      <c r="A360" s="46">
        <v>22</v>
      </c>
      <c r="B360" s="45" t="s">
        <v>229</v>
      </c>
      <c r="C360" s="45" t="s">
        <v>18</v>
      </c>
      <c r="D360" s="45" t="s">
        <v>230</v>
      </c>
      <c r="E360" s="45" t="s">
        <v>1284</v>
      </c>
      <c r="F360" s="46" t="s">
        <v>848</v>
      </c>
      <c r="G360" s="46">
        <v>275</v>
      </c>
      <c r="H360" s="46">
        <v>1</v>
      </c>
      <c r="I360" s="46" t="s">
        <v>780</v>
      </c>
      <c r="J360" s="45" t="s">
        <v>810</v>
      </c>
      <c r="K360" s="46" t="s">
        <v>824</v>
      </c>
      <c r="L360" s="45" t="s">
        <v>1278</v>
      </c>
      <c r="M360" s="46">
        <v>177</v>
      </c>
      <c r="N360" s="46" t="s">
        <v>825</v>
      </c>
      <c r="O360" s="46">
        <v>1</v>
      </c>
      <c r="P360" s="45" t="s">
        <v>1279</v>
      </c>
      <c r="Q360" s="47" t="s">
        <v>776</v>
      </c>
      <c r="R360" s="45" t="s">
        <v>784</v>
      </c>
    </row>
    <row r="361" spans="1:18" ht="32.1" hidden="1" customHeight="1">
      <c r="A361" s="46">
        <v>22</v>
      </c>
      <c r="B361" s="45" t="s">
        <v>229</v>
      </c>
      <c r="C361" s="45" t="s">
        <v>18</v>
      </c>
      <c r="D361" s="45" t="s">
        <v>230</v>
      </c>
      <c r="E361" s="45" t="s">
        <v>1284</v>
      </c>
      <c r="F361" s="46" t="s">
        <v>848</v>
      </c>
      <c r="G361" s="46">
        <v>275</v>
      </c>
      <c r="H361" s="46">
        <v>1</v>
      </c>
      <c r="I361" s="46" t="s">
        <v>780</v>
      </c>
      <c r="J361" s="45" t="s">
        <v>810</v>
      </c>
      <c r="K361" s="46" t="s">
        <v>826</v>
      </c>
      <c r="L361" s="45" t="s">
        <v>1278</v>
      </c>
      <c r="M361" s="46">
        <v>177</v>
      </c>
      <c r="N361" s="46" t="s">
        <v>827</v>
      </c>
      <c r="O361" s="46">
        <v>1</v>
      </c>
      <c r="P361" s="45" t="s">
        <v>1279</v>
      </c>
      <c r="Q361" s="47" t="s">
        <v>776</v>
      </c>
      <c r="R361" s="45" t="s">
        <v>784</v>
      </c>
    </row>
    <row r="362" spans="1:18" ht="32.1" hidden="1" customHeight="1">
      <c r="A362" s="46">
        <v>22</v>
      </c>
      <c r="B362" s="45" t="s">
        <v>229</v>
      </c>
      <c r="C362" s="45" t="s">
        <v>18</v>
      </c>
      <c r="D362" s="45" t="s">
        <v>230</v>
      </c>
      <c r="E362" s="45" t="s">
        <v>1284</v>
      </c>
      <c r="F362" s="46" t="s">
        <v>848</v>
      </c>
      <c r="G362" s="46">
        <v>275</v>
      </c>
      <c r="H362" s="46">
        <v>1</v>
      </c>
      <c r="I362" s="46" t="s">
        <v>780</v>
      </c>
      <c r="J362" s="45" t="s">
        <v>810</v>
      </c>
      <c r="K362" s="46" t="s">
        <v>806</v>
      </c>
      <c r="L362" s="45" t="s">
        <v>1278</v>
      </c>
      <c r="M362" s="46">
        <v>177</v>
      </c>
      <c r="N362" s="46" t="s">
        <v>828</v>
      </c>
      <c r="O362" s="46">
        <v>1</v>
      </c>
      <c r="P362" s="45" t="s">
        <v>1279</v>
      </c>
      <c r="Q362" s="47" t="s">
        <v>776</v>
      </c>
      <c r="R362" s="45" t="s">
        <v>784</v>
      </c>
    </row>
    <row r="363" spans="1:18" ht="32.1" hidden="1" customHeight="1">
      <c r="A363" s="46">
        <v>22</v>
      </c>
      <c r="B363" s="45" t="s">
        <v>229</v>
      </c>
      <c r="C363" s="45" t="s">
        <v>18</v>
      </c>
      <c r="D363" s="45" t="s">
        <v>230</v>
      </c>
      <c r="E363" s="45" t="s">
        <v>1284</v>
      </c>
      <c r="F363" s="46" t="s">
        <v>848</v>
      </c>
      <c r="G363" s="46">
        <v>275</v>
      </c>
      <c r="H363" s="46">
        <v>1</v>
      </c>
      <c r="I363" s="46" t="s">
        <v>780</v>
      </c>
      <c r="J363" s="45" t="s">
        <v>810</v>
      </c>
      <c r="K363" s="46" t="s">
        <v>829</v>
      </c>
      <c r="L363" s="45" t="s">
        <v>1278</v>
      </c>
      <c r="M363" s="46">
        <v>177</v>
      </c>
      <c r="N363" s="46" t="s">
        <v>830</v>
      </c>
      <c r="O363" s="46">
        <v>1</v>
      </c>
      <c r="P363" s="45" t="s">
        <v>1279</v>
      </c>
      <c r="Q363" s="47" t="s">
        <v>776</v>
      </c>
      <c r="R363" s="45" t="s">
        <v>784</v>
      </c>
    </row>
    <row r="364" spans="1:18" ht="32.1" hidden="1" customHeight="1">
      <c r="A364" s="46">
        <v>22</v>
      </c>
      <c r="B364" s="45" t="s">
        <v>229</v>
      </c>
      <c r="C364" s="45" t="s">
        <v>18</v>
      </c>
      <c r="D364" s="45" t="s">
        <v>230</v>
      </c>
      <c r="E364" s="45" t="s">
        <v>1284</v>
      </c>
      <c r="F364" s="46" t="s">
        <v>848</v>
      </c>
      <c r="G364" s="46">
        <v>275</v>
      </c>
      <c r="H364" s="46">
        <v>1</v>
      </c>
      <c r="I364" s="46" t="s">
        <v>780</v>
      </c>
      <c r="J364" s="45" t="s">
        <v>810</v>
      </c>
      <c r="K364" s="46" t="s">
        <v>831</v>
      </c>
      <c r="L364" s="45" t="s">
        <v>1278</v>
      </c>
      <c r="M364" s="46">
        <v>177</v>
      </c>
      <c r="N364" s="46" t="s">
        <v>832</v>
      </c>
      <c r="O364" s="46">
        <v>1</v>
      </c>
      <c r="P364" s="45" t="s">
        <v>1279</v>
      </c>
      <c r="Q364" s="47" t="s">
        <v>776</v>
      </c>
      <c r="R364" s="45" t="s">
        <v>784</v>
      </c>
    </row>
    <row r="365" spans="1:18" ht="32.1" hidden="1" customHeight="1">
      <c r="A365" s="46">
        <v>22</v>
      </c>
      <c r="B365" s="45" t="s">
        <v>229</v>
      </c>
      <c r="C365" s="45" t="s">
        <v>18</v>
      </c>
      <c r="D365" s="45" t="s">
        <v>230</v>
      </c>
      <c r="E365" s="45" t="s">
        <v>1284</v>
      </c>
      <c r="F365" s="46" t="s">
        <v>848</v>
      </c>
      <c r="G365" s="46">
        <v>275</v>
      </c>
      <c r="H365" s="46">
        <v>1</v>
      </c>
      <c r="I365" s="46" t="s">
        <v>780</v>
      </c>
      <c r="J365" s="45" t="s">
        <v>810</v>
      </c>
      <c r="K365" s="46" t="s">
        <v>833</v>
      </c>
      <c r="L365" s="45" t="s">
        <v>1278</v>
      </c>
      <c r="M365" s="46">
        <v>177</v>
      </c>
      <c r="N365" s="46" t="s">
        <v>834</v>
      </c>
      <c r="O365" s="46">
        <v>1</v>
      </c>
      <c r="P365" s="45" t="s">
        <v>1279</v>
      </c>
      <c r="Q365" s="47" t="s">
        <v>776</v>
      </c>
      <c r="R365" s="45" t="s">
        <v>784</v>
      </c>
    </row>
    <row r="366" spans="1:18" ht="32.1" hidden="1" customHeight="1">
      <c r="A366" s="46">
        <v>22</v>
      </c>
      <c r="B366" s="45" t="s">
        <v>229</v>
      </c>
      <c r="C366" s="45" t="s">
        <v>18</v>
      </c>
      <c r="D366" s="45" t="s">
        <v>230</v>
      </c>
      <c r="E366" s="45" t="s">
        <v>1285</v>
      </c>
      <c r="F366" s="46" t="s">
        <v>836</v>
      </c>
      <c r="G366" s="46">
        <v>593</v>
      </c>
      <c r="H366" s="46">
        <v>1</v>
      </c>
      <c r="I366" s="46" t="s">
        <v>780</v>
      </c>
      <c r="J366" s="45" t="s">
        <v>1286</v>
      </c>
      <c r="K366" s="46" t="s">
        <v>813</v>
      </c>
      <c r="L366" s="45" t="s">
        <v>1278</v>
      </c>
      <c r="M366" s="46">
        <v>184</v>
      </c>
      <c r="N366" s="46" t="s">
        <v>1287</v>
      </c>
      <c r="O366" s="46">
        <v>1</v>
      </c>
      <c r="P366" s="45" t="s">
        <v>1279</v>
      </c>
      <c r="Q366" s="47" t="s">
        <v>776</v>
      </c>
      <c r="R366" s="45" t="s">
        <v>784</v>
      </c>
    </row>
    <row r="367" spans="1:18" ht="32.1" hidden="1" customHeight="1">
      <c r="A367" s="46">
        <v>22</v>
      </c>
      <c r="B367" s="45" t="s">
        <v>229</v>
      </c>
      <c r="C367" s="45" t="s">
        <v>18</v>
      </c>
      <c r="D367" s="45" t="s">
        <v>230</v>
      </c>
      <c r="E367" s="45" t="s">
        <v>1288</v>
      </c>
      <c r="F367" s="46" t="s">
        <v>798</v>
      </c>
      <c r="G367" s="46">
        <v>579</v>
      </c>
      <c r="H367" s="46">
        <v>1</v>
      </c>
      <c r="I367" s="46" t="s">
        <v>780</v>
      </c>
      <c r="J367" s="45" t="s">
        <v>1031</v>
      </c>
      <c r="K367" s="46" t="s">
        <v>782</v>
      </c>
      <c r="L367" s="45" t="s">
        <v>1278</v>
      </c>
      <c r="M367" s="46">
        <v>185</v>
      </c>
      <c r="N367" s="46" t="s">
        <v>1029</v>
      </c>
      <c r="O367" s="46">
        <v>1</v>
      </c>
      <c r="P367" s="45" t="s">
        <v>1279</v>
      </c>
      <c r="Q367" s="47" t="s">
        <v>776</v>
      </c>
      <c r="R367" s="45" t="s">
        <v>784</v>
      </c>
    </row>
    <row r="368" spans="1:18" ht="32.1" hidden="1" customHeight="1">
      <c r="A368" s="46">
        <v>22</v>
      </c>
      <c r="B368" s="45" t="s">
        <v>229</v>
      </c>
      <c r="C368" s="45" t="s">
        <v>18</v>
      </c>
      <c r="D368" s="45" t="s">
        <v>230</v>
      </c>
      <c r="E368" s="45" t="s">
        <v>1014</v>
      </c>
      <c r="F368" s="46" t="s">
        <v>786</v>
      </c>
      <c r="G368" s="46">
        <v>32</v>
      </c>
      <c r="H368" s="46">
        <v>1</v>
      </c>
      <c r="I368" s="46" t="s">
        <v>780</v>
      </c>
      <c r="J368" s="45" t="s">
        <v>1031</v>
      </c>
      <c r="K368" s="46" t="s">
        <v>815</v>
      </c>
      <c r="L368" s="45" t="s">
        <v>1278</v>
      </c>
      <c r="M368" s="46">
        <v>186</v>
      </c>
      <c r="N368" s="46" t="s">
        <v>1289</v>
      </c>
      <c r="O368" s="46">
        <v>1</v>
      </c>
      <c r="P368" s="45" t="s">
        <v>1279</v>
      </c>
      <c r="Q368" s="47" t="s">
        <v>776</v>
      </c>
      <c r="R368" s="45" t="s">
        <v>784</v>
      </c>
    </row>
    <row r="369" spans="1:18" ht="32.1" hidden="1" customHeight="1">
      <c r="A369" s="46">
        <v>22</v>
      </c>
      <c r="B369" s="45" t="s">
        <v>229</v>
      </c>
      <c r="C369" s="45" t="s">
        <v>18</v>
      </c>
      <c r="D369" s="45" t="s">
        <v>230</v>
      </c>
      <c r="E369" s="45" t="s">
        <v>1284</v>
      </c>
      <c r="F369" s="46" t="s">
        <v>802</v>
      </c>
      <c r="G369" s="46">
        <v>275</v>
      </c>
      <c r="H369" s="46">
        <v>1</v>
      </c>
      <c r="I369" s="46" t="s">
        <v>843</v>
      </c>
      <c r="J369" s="45" t="s">
        <v>1290</v>
      </c>
      <c r="K369" s="46"/>
      <c r="L369" s="45" t="s">
        <v>1278</v>
      </c>
      <c r="M369" s="46">
        <v>187</v>
      </c>
      <c r="N369" s="46" t="s">
        <v>845</v>
      </c>
      <c r="O369" s="46">
        <v>1</v>
      </c>
      <c r="P369" s="45" t="s">
        <v>1279</v>
      </c>
      <c r="Q369" s="47" t="s">
        <v>776</v>
      </c>
      <c r="R369" s="45" t="s">
        <v>784</v>
      </c>
    </row>
    <row r="370" spans="1:18" ht="32.1" hidden="1" customHeight="1">
      <c r="A370" s="46">
        <v>22</v>
      </c>
      <c r="B370" s="45" t="s">
        <v>229</v>
      </c>
      <c r="C370" s="45" t="s">
        <v>18</v>
      </c>
      <c r="D370" s="45" t="s">
        <v>230</v>
      </c>
      <c r="E370" s="45" t="s">
        <v>1291</v>
      </c>
      <c r="F370" s="46" t="s">
        <v>794</v>
      </c>
      <c r="G370" s="46">
        <v>243</v>
      </c>
      <c r="H370" s="46">
        <v>1</v>
      </c>
      <c r="I370" s="46" t="s">
        <v>843</v>
      </c>
      <c r="J370" s="45" t="s">
        <v>1292</v>
      </c>
      <c r="K370" s="46"/>
      <c r="L370" s="45" t="s">
        <v>1278</v>
      </c>
      <c r="M370" s="46">
        <v>188</v>
      </c>
      <c r="N370" s="46" t="s">
        <v>845</v>
      </c>
      <c r="O370" s="46">
        <v>1</v>
      </c>
      <c r="P370" s="45" t="s">
        <v>1279</v>
      </c>
      <c r="Q370" s="47" t="s">
        <v>776</v>
      </c>
      <c r="R370" s="45" t="s">
        <v>784</v>
      </c>
    </row>
    <row r="371" spans="1:18" ht="32.1" hidden="1" customHeight="1">
      <c r="A371" s="46">
        <v>23</v>
      </c>
      <c r="B371" s="45" t="s">
        <v>239</v>
      </c>
      <c r="C371" s="45" t="s">
        <v>21</v>
      </c>
      <c r="D371" s="45" t="s">
        <v>240</v>
      </c>
      <c r="E371" s="45" t="s">
        <v>1293</v>
      </c>
      <c r="F371" s="46" t="s">
        <v>770</v>
      </c>
      <c r="G371" s="46">
        <v>40</v>
      </c>
      <c r="H371" s="46">
        <v>1</v>
      </c>
      <c r="I371" s="46" t="s">
        <v>771</v>
      </c>
      <c r="J371" s="45" t="s">
        <v>772</v>
      </c>
      <c r="K371" s="46"/>
      <c r="L371" s="45" t="s">
        <v>1294</v>
      </c>
      <c r="M371" s="46">
        <v>504</v>
      </c>
      <c r="N371" s="46" t="s">
        <v>774</v>
      </c>
      <c r="O371" s="46">
        <v>50</v>
      </c>
      <c r="P371" s="45" t="s">
        <v>1295</v>
      </c>
      <c r="Q371" s="47" t="s">
        <v>776</v>
      </c>
      <c r="R371" s="45" t="s">
        <v>777</v>
      </c>
    </row>
    <row r="372" spans="1:18" ht="32.1" hidden="1" customHeight="1">
      <c r="A372" s="46">
        <v>23</v>
      </c>
      <c r="B372" s="45" t="s">
        <v>239</v>
      </c>
      <c r="C372" s="45" t="s">
        <v>21</v>
      </c>
      <c r="D372" s="45" t="s">
        <v>240</v>
      </c>
      <c r="E372" s="45" t="s">
        <v>1296</v>
      </c>
      <c r="F372" s="46" t="s">
        <v>842</v>
      </c>
      <c r="G372" s="46">
        <v>512</v>
      </c>
      <c r="H372" s="46">
        <v>1</v>
      </c>
      <c r="I372" s="46" t="s">
        <v>780</v>
      </c>
      <c r="J372" s="45" t="s">
        <v>799</v>
      </c>
      <c r="K372" s="46" t="s">
        <v>817</v>
      </c>
      <c r="L372" s="45" t="s">
        <v>1294</v>
      </c>
      <c r="M372" s="46">
        <v>505</v>
      </c>
      <c r="N372" s="46" t="s">
        <v>1297</v>
      </c>
      <c r="O372" s="46">
        <v>1</v>
      </c>
      <c r="P372" s="45" t="s">
        <v>1295</v>
      </c>
      <c r="Q372" s="47" t="s">
        <v>776</v>
      </c>
      <c r="R372" s="45" t="s">
        <v>784</v>
      </c>
    </row>
    <row r="373" spans="1:18" ht="32.1" hidden="1" customHeight="1">
      <c r="A373" s="46">
        <v>23</v>
      </c>
      <c r="B373" s="45" t="s">
        <v>239</v>
      </c>
      <c r="C373" s="45" t="s">
        <v>21</v>
      </c>
      <c r="D373" s="45" t="s">
        <v>240</v>
      </c>
      <c r="E373" s="45" t="s">
        <v>1007</v>
      </c>
      <c r="F373" s="46" t="s">
        <v>809</v>
      </c>
      <c r="G373" s="46">
        <v>128</v>
      </c>
      <c r="H373" s="46">
        <v>1</v>
      </c>
      <c r="I373" s="46" t="s">
        <v>780</v>
      </c>
      <c r="J373" s="45" t="s">
        <v>799</v>
      </c>
      <c r="K373" s="46" t="s">
        <v>821</v>
      </c>
      <c r="L373" s="45" t="s">
        <v>1294</v>
      </c>
      <c r="M373" s="46">
        <v>506</v>
      </c>
      <c r="N373" s="46" t="s">
        <v>1298</v>
      </c>
      <c r="O373" s="46">
        <v>1</v>
      </c>
      <c r="P373" s="45" t="s">
        <v>1295</v>
      </c>
      <c r="Q373" s="47" t="s">
        <v>776</v>
      </c>
      <c r="R373" s="45" t="s">
        <v>784</v>
      </c>
    </row>
    <row r="374" spans="1:18" ht="32.1" hidden="1" customHeight="1">
      <c r="A374" s="46">
        <v>23</v>
      </c>
      <c r="B374" s="45" t="s">
        <v>239</v>
      </c>
      <c r="C374" s="45" t="s">
        <v>21</v>
      </c>
      <c r="D374" s="45" t="s">
        <v>240</v>
      </c>
      <c r="E374" s="45" t="s">
        <v>1299</v>
      </c>
      <c r="F374" s="46" t="s">
        <v>848</v>
      </c>
      <c r="G374" s="46">
        <v>300</v>
      </c>
      <c r="H374" s="46">
        <v>1</v>
      </c>
      <c r="I374" s="46" t="s">
        <v>780</v>
      </c>
      <c r="J374" s="45" t="s">
        <v>799</v>
      </c>
      <c r="K374" s="46" t="s">
        <v>926</v>
      </c>
      <c r="L374" s="45" t="s">
        <v>1294</v>
      </c>
      <c r="M374" s="46">
        <v>507</v>
      </c>
      <c r="N374" s="46" t="s">
        <v>1022</v>
      </c>
      <c r="O374" s="46">
        <v>1</v>
      </c>
      <c r="P374" s="45" t="s">
        <v>1295</v>
      </c>
      <c r="Q374" s="47" t="s">
        <v>776</v>
      </c>
      <c r="R374" s="45" t="s">
        <v>784</v>
      </c>
    </row>
    <row r="375" spans="1:18" ht="32.1" hidden="1" customHeight="1">
      <c r="A375" s="46">
        <v>23</v>
      </c>
      <c r="B375" s="45" t="s">
        <v>239</v>
      </c>
      <c r="C375" s="45" t="s">
        <v>21</v>
      </c>
      <c r="D375" s="45" t="s">
        <v>240</v>
      </c>
      <c r="E375" s="45" t="s">
        <v>1300</v>
      </c>
      <c r="F375" s="46" t="s">
        <v>836</v>
      </c>
      <c r="G375" s="46">
        <v>165</v>
      </c>
      <c r="H375" s="46">
        <v>1</v>
      </c>
      <c r="I375" s="46" t="s">
        <v>780</v>
      </c>
      <c r="J375" s="45" t="s">
        <v>781</v>
      </c>
      <c r="K375" s="46" t="s">
        <v>791</v>
      </c>
      <c r="L375" s="45" t="s">
        <v>1294</v>
      </c>
      <c r="M375" s="46">
        <v>508</v>
      </c>
      <c r="N375" s="46" t="s">
        <v>1283</v>
      </c>
      <c r="O375" s="46">
        <v>1</v>
      </c>
      <c r="P375" s="45" t="s">
        <v>1295</v>
      </c>
      <c r="Q375" s="47" t="s">
        <v>776</v>
      </c>
      <c r="R375" s="45" t="s">
        <v>784</v>
      </c>
    </row>
    <row r="376" spans="1:18" ht="32.1" hidden="1" customHeight="1">
      <c r="A376" s="46">
        <v>23</v>
      </c>
      <c r="B376" s="45" t="s">
        <v>239</v>
      </c>
      <c r="C376" s="45" t="s">
        <v>21</v>
      </c>
      <c r="D376" s="45" t="s">
        <v>240</v>
      </c>
      <c r="E376" s="45" t="s">
        <v>1301</v>
      </c>
      <c r="F376" s="46" t="s">
        <v>798</v>
      </c>
      <c r="G376" s="46">
        <v>104</v>
      </c>
      <c r="H376" s="46">
        <v>1</v>
      </c>
      <c r="I376" s="46" t="s">
        <v>780</v>
      </c>
      <c r="J376" s="45" t="s">
        <v>781</v>
      </c>
      <c r="K376" s="46" t="s">
        <v>782</v>
      </c>
      <c r="L376" s="45" t="s">
        <v>1294</v>
      </c>
      <c r="M376" s="46">
        <v>509</v>
      </c>
      <c r="N376" s="46" t="s">
        <v>783</v>
      </c>
      <c r="O376" s="46">
        <v>1</v>
      </c>
      <c r="P376" s="45" t="s">
        <v>1295</v>
      </c>
      <c r="Q376" s="47" t="s">
        <v>776</v>
      </c>
      <c r="R376" s="45" t="s">
        <v>784</v>
      </c>
    </row>
    <row r="377" spans="1:18" ht="32.1" hidden="1" customHeight="1">
      <c r="A377" s="46">
        <v>23</v>
      </c>
      <c r="B377" s="45" t="s">
        <v>239</v>
      </c>
      <c r="C377" s="45" t="s">
        <v>21</v>
      </c>
      <c r="D377" s="45" t="s">
        <v>240</v>
      </c>
      <c r="E377" s="45" t="s">
        <v>1302</v>
      </c>
      <c r="F377" s="46" t="s">
        <v>786</v>
      </c>
      <c r="G377" s="46">
        <v>1144</v>
      </c>
      <c r="H377" s="46">
        <v>1</v>
      </c>
      <c r="I377" s="46" t="s">
        <v>780</v>
      </c>
      <c r="J377" s="45" t="s">
        <v>787</v>
      </c>
      <c r="K377" s="46" t="s">
        <v>795</v>
      </c>
      <c r="L377" s="45" t="s">
        <v>1294</v>
      </c>
      <c r="M377" s="46">
        <v>510</v>
      </c>
      <c r="N377" s="46" t="s">
        <v>796</v>
      </c>
      <c r="O377" s="46">
        <v>1</v>
      </c>
      <c r="P377" s="45" t="s">
        <v>1295</v>
      </c>
      <c r="Q377" s="47" t="s">
        <v>776</v>
      </c>
      <c r="R377" s="45" t="s">
        <v>784</v>
      </c>
    </row>
    <row r="378" spans="1:18" ht="32.1" hidden="1" customHeight="1">
      <c r="A378" s="46">
        <v>23</v>
      </c>
      <c r="B378" s="45" t="s">
        <v>239</v>
      </c>
      <c r="C378" s="45" t="s">
        <v>21</v>
      </c>
      <c r="D378" s="45" t="s">
        <v>240</v>
      </c>
      <c r="E378" s="45" t="s">
        <v>976</v>
      </c>
      <c r="F378" s="46" t="s">
        <v>802</v>
      </c>
      <c r="G378" s="46">
        <v>289</v>
      </c>
      <c r="H378" s="46">
        <v>1</v>
      </c>
      <c r="I378" s="46" t="s">
        <v>780</v>
      </c>
      <c r="J378" s="45" t="s">
        <v>1001</v>
      </c>
      <c r="K378" s="46" t="s">
        <v>791</v>
      </c>
      <c r="L378" s="45" t="s">
        <v>1294</v>
      </c>
      <c r="M378" s="46">
        <v>511</v>
      </c>
      <c r="N378" s="46" t="s">
        <v>1039</v>
      </c>
      <c r="O378" s="46">
        <v>1</v>
      </c>
      <c r="P378" s="45" t="s">
        <v>1295</v>
      </c>
      <c r="Q378" s="47" t="s">
        <v>776</v>
      </c>
      <c r="R378" s="45" t="s">
        <v>784</v>
      </c>
    </row>
    <row r="379" spans="1:18" ht="32.1" hidden="1" customHeight="1">
      <c r="A379" s="46">
        <v>23</v>
      </c>
      <c r="B379" s="45" t="s">
        <v>239</v>
      </c>
      <c r="C379" s="45" t="s">
        <v>21</v>
      </c>
      <c r="D379" s="45" t="s">
        <v>240</v>
      </c>
      <c r="E379" s="45" t="s">
        <v>1035</v>
      </c>
      <c r="F379" s="46" t="s">
        <v>794</v>
      </c>
      <c r="G379" s="46">
        <v>1</v>
      </c>
      <c r="H379" s="46">
        <v>1</v>
      </c>
      <c r="I379" s="46" t="s">
        <v>780</v>
      </c>
      <c r="J379" s="45" t="s">
        <v>1001</v>
      </c>
      <c r="K379" s="46" t="s">
        <v>795</v>
      </c>
      <c r="L379" s="45" t="s">
        <v>1294</v>
      </c>
      <c r="M379" s="46">
        <v>512</v>
      </c>
      <c r="N379" s="46" t="s">
        <v>1087</v>
      </c>
      <c r="O379" s="46">
        <v>2</v>
      </c>
      <c r="P379" s="45" t="s">
        <v>1295</v>
      </c>
      <c r="Q379" s="47" t="s">
        <v>776</v>
      </c>
      <c r="R379" s="45" t="s">
        <v>784</v>
      </c>
    </row>
    <row r="380" spans="1:18" ht="32.1" hidden="1" customHeight="1">
      <c r="A380" s="46">
        <v>23</v>
      </c>
      <c r="B380" s="45" t="s">
        <v>239</v>
      </c>
      <c r="C380" s="45" t="s">
        <v>21</v>
      </c>
      <c r="D380" s="45" t="s">
        <v>240</v>
      </c>
      <c r="E380" s="45" t="s">
        <v>1303</v>
      </c>
      <c r="F380" s="46" t="s">
        <v>804</v>
      </c>
      <c r="G380" s="46">
        <v>7</v>
      </c>
      <c r="H380" s="46">
        <v>1</v>
      </c>
      <c r="I380" s="46" t="s">
        <v>780</v>
      </c>
      <c r="J380" s="45" t="s">
        <v>781</v>
      </c>
      <c r="K380" s="46" t="s">
        <v>791</v>
      </c>
      <c r="L380" s="45" t="s">
        <v>1294</v>
      </c>
      <c r="M380" s="46">
        <v>513</v>
      </c>
      <c r="N380" s="46" t="s">
        <v>1283</v>
      </c>
      <c r="O380" s="46">
        <v>1</v>
      </c>
      <c r="P380" s="45" t="s">
        <v>1295</v>
      </c>
      <c r="Q380" s="47" t="s">
        <v>776</v>
      </c>
      <c r="R380" s="45" t="s">
        <v>784</v>
      </c>
    </row>
    <row r="381" spans="1:18" ht="32.1" hidden="1" customHeight="1">
      <c r="A381" s="46">
        <v>23</v>
      </c>
      <c r="B381" s="45" t="s">
        <v>239</v>
      </c>
      <c r="C381" s="45" t="s">
        <v>21</v>
      </c>
      <c r="D381" s="45" t="s">
        <v>240</v>
      </c>
      <c r="E381" s="45" t="s">
        <v>1096</v>
      </c>
      <c r="F381" s="46" t="s">
        <v>879</v>
      </c>
      <c r="G381" s="46">
        <v>8</v>
      </c>
      <c r="H381" s="46">
        <v>1</v>
      </c>
      <c r="I381" s="46" t="s">
        <v>780</v>
      </c>
      <c r="J381" s="45" t="s">
        <v>1001</v>
      </c>
      <c r="K381" s="46" t="s">
        <v>791</v>
      </c>
      <c r="L381" s="45" t="s">
        <v>1294</v>
      </c>
      <c r="M381" s="46">
        <v>521</v>
      </c>
      <c r="N381" s="46" t="s">
        <v>1039</v>
      </c>
      <c r="O381" s="46">
        <v>1</v>
      </c>
      <c r="P381" s="45" t="s">
        <v>1295</v>
      </c>
      <c r="Q381" s="47" t="s">
        <v>776</v>
      </c>
      <c r="R381" s="45" t="s">
        <v>784</v>
      </c>
    </row>
    <row r="382" spans="1:18" ht="32.1" hidden="1" customHeight="1">
      <c r="A382" s="46">
        <v>23</v>
      </c>
      <c r="B382" s="45" t="s">
        <v>239</v>
      </c>
      <c r="C382" s="45" t="s">
        <v>21</v>
      </c>
      <c r="D382" s="45" t="s">
        <v>240</v>
      </c>
      <c r="E382" s="45" t="s">
        <v>1304</v>
      </c>
      <c r="F382" s="46" t="s">
        <v>883</v>
      </c>
      <c r="G382" s="46">
        <v>146</v>
      </c>
      <c r="H382" s="46">
        <v>1</v>
      </c>
      <c r="I382" s="46" t="s">
        <v>780</v>
      </c>
      <c r="J382" s="45" t="s">
        <v>781</v>
      </c>
      <c r="K382" s="46" t="s">
        <v>791</v>
      </c>
      <c r="L382" s="45" t="s">
        <v>1294</v>
      </c>
      <c r="M382" s="46">
        <v>529</v>
      </c>
      <c r="N382" s="46" t="s">
        <v>1283</v>
      </c>
      <c r="O382" s="46">
        <v>1</v>
      </c>
      <c r="P382" s="45" t="s">
        <v>1295</v>
      </c>
      <c r="Q382" s="47" t="s">
        <v>776</v>
      </c>
      <c r="R382" s="45" t="s">
        <v>784</v>
      </c>
    </row>
    <row r="383" spans="1:18" ht="32.1" hidden="1" customHeight="1">
      <c r="A383" s="46">
        <v>23</v>
      </c>
      <c r="B383" s="45" t="s">
        <v>239</v>
      </c>
      <c r="C383" s="45" t="s">
        <v>21</v>
      </c>
      <c r="D383" s="45" t="s">
        <v>240</v>
      </c>
      <c r="E383" s="45" t="s">
        <v>1305</v>
      </c>
      <c r="F383" s="46" t="s">
        <v>887</v>
      </c>
      <c r="G383" s="46">
        <v>20</v>
      </c>
      <c r="H383" s="46">
        <v>1</v>
      </c>
      <c r="I383" s="46" t="s">
        <v>843</v>
      </c>
      <c r="J383" s="45" t="s">
        <v>1306</v>
      </c>
      <c r="K383" s="46"/>
      <c r="L383" s="45" t="s">
        <v>1294</v>
      </c>
      <c r="M383" s="46">
        <v>537</v>
      </c>
      <c r="N383" s="46" t="s">
        <v>845</v>
      </c>
      <c r="O383" s="46">
        <v>1</v>
      </c>
      <c r="P383" s="45" t="s">
        <v>1295</v>
      </c>
      <c r="Q383" s="47" t="s">
        <v>776</v>
      </c>
      <c r="R383" s="45" t="s">
        <v>784</v>
      </c>
    </row>
    <row r="384" spans="1:18" ht="32.1" hidden="1" customHeight="1">
      <c r="A384" s="46">
        <v>24</v>
      </c>
      <c r="B384" s="45" t="s">
        <v>249</v>
      </c>
      <c r="C384" s="45" t="s">
        <v>25</v>
      </c>
      <c r="D384" s="45" t="s">
        <v>250</v>
      </c>
      <c r="E384" s="45" t="s">
        <v>838</v>
      </c>
      <c r="F384" s="46" t="s">
        <v>770</v>
      </c>
      <c r="G384" s="46">
        <v>0</v>
      </c>
      <c r="H384" s="46">
        <v>1</v>
      </c>
      <c r="I384" s="46" t="s">
        <v>771</v>
      </c>
      <c r="J384" s="45" t="s">
        <v>772</v>
      </c>
      <c r="K384" s="46"/>
      <c r="L384" s="45" t="s">
        <v>1307</v>
      </c>
      <c r="M384" s="46">
        <v>146</v>
      </c>
      <c r="N384" s="46" t="s">
        <v>774</v>
      </c>
      <c r="O384" s="46">
        <v>50</v>
      </c>
      <c r="P384" s="45" t="s">
        <v>1308</v>
      </c>
      <c r="Q384" s="47" t="s">
        <v>776</v>
      </c>
      <c r="R384" s="45" t="s">
        <v>777</v>
      </c>
    </row>
    <row r="385" spans="1:18" ht="32.1" hidden="1" customHeight="1">
      <c r="A385" s="46">
        <v>24</v>
      </c>
      <c r="B385" s="45" t="s">
        <v>249</v>
      </c>
      <c r="C385" s="45" t="s">
        <v>25</v>
      </c>
      <c r="D385" s="45" t="s">
        <v>250</v>
      </c>
      <c r="E385" s="45" t="s">
        <v>838</v>
      </c>
      <c r="F385" s="46" t="s">
        <v>842</v>
      </c>
      <c r="G385" s="46">
        <v>0</v>
      </c>
      <c r="H385" s="46">
        <v>1</v>
      </c>
      <c r="I385" s="46" t="s">
        <v>780</v>
      </c>
      <c r="J385" s="45" t="s">
        <v>916</v>
      </c>
      <c r="K385" s="46" t="s">
        <v>829</v>
      </c>
      <c r="L385" s="45" t="s">
        <v>1307</v>
      </c>
      <c r="M385" s="46">
        <v>147</v>
      </c>
      <c r="N385" s="46" t="s">
        <v>1309</v>
      </c>
      <c r="O385" s="46">
        <v>1</v>
      </c>
      <c r="P385" s="45" t="s">
        <v>1308</v>
      </c>
      <c r="Q385" s="47" t="s">
        <v>776</v>
      </c>
      <c r="R385" s="45" t="s">
        <v>784</v>
      </c>
    </row>
    <row r="386" spans="1:18" ht="32.1" hidden="1" customHeight="1">
      <c r="A386" s="46">
        <v>24</v>
      </c>
      <c r="B386" s="45" t="s">
        <v>249</v>
      </c>
      <c r="C386" s="45" t="s">
        <v>25</v>
      </c>
      <c r="D386" s="45" t="s">
        <v>250</v>
      </c>
      <c r="E386" s="45" t="s">
        <v>838</v>
      </c>
      <c r="F386" s="46" t="s">
        <v>809</v>
      </c>
      <c r="G386" s="46">
        <v>0</v>
      </c>
      <c r="H386" s="46">
        <v>1</v>
      </c>
      <c r="I386" s="46" t="s">
        <v>780</v>
      </c>
      <c r="J386" s="45" t="s">
        <v>916</v>
      </c>
      <c r="K386" s="46" t="s">
        <v>865</v>
      </c>
      <c r="L386" s="45" t="s">
        <v>1307</v>
      </c>
      <c r="M386" s="46">
        <v>148</v>
      </c>
      <c r="N386" s="46" t="s">
        <v>1052</v>
      </c>
      <c r="O386" s="46">
        <v>1</v>
      </c>
      <c r="P386" s="45" t="s">
        <v>1308</v>
      </c>
      <c r="Q386" s="47" t="s">
        <v>776</v>
      </c>
      <c r="R386" s="45" t="s">
        <v>784</v>
      </c>
    </row>
    <row r="387" spans="1:18" ht="32.1" hidden="1" customHeight="1">
      <c r="A387" s="46">
        <v>24</v>
      </c>
      <c r="B387" s="45" t="s">
        <v>249</v>
      </c>
      <c r="C387" s="45" t="s">
        <v>25</v>
      </c>
      <c r="D387" s="45" t="s">
        <v>250</v>
      </c>
      <c r="E387" s="45" t="s">
        <v>838</v>
      </c>
      <c r="F387" s="46" t="s">
        <v>848</v>
      </c>
      <c r="G387" s="46">
        <v>0</v>
      </c>
      <c r="H387" s="46">
        <v>1</v>
      </c>
      <c r="I387" s="46" t="s">
        <v>780</v>
      </c>
      <c r="J387" s="45" t="s">
        <v>799</v>
      </c>
      <c r="K387" s="46" t="s">
        <v>926</v>
      </c>
      <c r="L387" s="45" t="s">
        <v>1307</v>
      </c>
      <c r="M387" s="46">
        <v>149</v>
      </c>
      <c r="N387" s="46" t="s">
        <v>1022</v>
      </c>
      <c r="O387" s="46">
        <v>1</v>
      </c>
      <c r="P387" s="45" t="s">
        <v>1308</v>
      </c>
      <c r="Q387" s="47" t="s">
        <v>776</v>
      </c>
      <c r="R387" s="45" t="s">
        <v>784</v>
      </c>
    </row>
    <row r="388" spans="1:18" ht="32.1" hidden="1" customHeight="1">
      <c r="A388" s="46">
        <v>24</v>
      </c>
      <c r="B388" s="45" t="s">
        <v>249</v>
      </c>
      <c r="C388" s="45" t="s">
        <v>25</v>
      </c>
      <c r="D388" s="45" t="s">
        <v>250</v>
      </c>
      <c r="E388" s="45" t="s">
        <v>838</v>
      </c>
      <c r="F388" s="46" t="s">
        <v>836</v>
      </c>
      <c r="G388" s="46">
        <v>0</v>
      </c>
      <c r="H388" s="46">
        <v>1</v>
      </c>
      <c r="I388" s="46" t="s">
        <v>780</v>
      </c>
      <c r="J388" s="45" t="s">
        <v>787</v>
      </c>
      <c r="K388" s="46" t="s">
        <v>795</v>
      </c>
      <c r="L388" s="45" t="s">
        <v>1307</v>
      </c>
      <c r="M388" s="46">
        <v>150</v>
      </c>
      <c r="N388" s="46" t="s">
        <v>796</v>
      </c>
      <c r="O388" s="46">
        <v>1</v>
      </c>
      <c r="P388" s="45" t="s">
        <v>1308</v>
      </c>
      <c r="Q388" s="47" t="s">
        <v>776</v>
      </c>
      <c r="R388" s="45" t="s">
        <v>784</v>
      </c>
    </row>
    <row r="389" spans="1:18" ht="32.1" hidden="1" customHeight="1">
      <c r="A389" s="46">
        <v>24</v>
      </c>
      <c r="B389" s="45" t="s">
        <v>249</v>
      </c>
      <c r="C389" s="45" t="s">
        <v>25</v>
      </c>
      <c r="D389" s="45" t="s">
        <v>250</v>
      </c>
      <c r="E389" s="45" t="s">
        <v>838</v>
      </c>
      <c r="F389" s="46" t="s">
        <v>798</v>
      </c>
      <c r="G389" s="46">
        <v>0</v>
      </c>
      <c r="H389" s="46">
        <v>1</v>
      </c>
      <c r="I389" s="46" t="s">
        <v>780</v>
      </c>
      <c r="J389" s="45" t="s">
        <v>787</v>
      </c>
      <c r="K389" s="46" t="s">
        <v>806</v>
      </c>
      <c r="L389" s="45" t="s">
        <v>1307</v>
      </c>
      <c r="M389" s="46">
        <v>151</v>
      </c>
      <c r="N389" s="46" t="s">
        <v>872</v>
      </c>
      <c r="O389" s="46">
        <v>1</v>
      </c>
      <c r="P389" s="45" t="s">
        <v>1308</v>
      </c>
      <c r="Q389" s="47" t="s">
        <v>776</v>
      </c>
      <c r="R389" s="45" t="s">
        <v>784</v>
      </c>
    </row>
    <row r="390" spans="1:18" ht="32.1" hidden="1" customHeight="1">
      <c r="A390" s="46">
        <v>24</v>
      </c>
      <c r="B390" s="45" t="s">
        <v>249</v>
      </c>
      <c r="C390" s="45" t="s">
        <v>25</v>
      </c>
      <c r="D390" s="45" t="s">
        <v>250</v>
      </c>
      <c r="E390" s="45" t="s">
        <v>838</v>
      </c>
      <c r="F390" s="46" t="s">
        <v>786</v>
      </c>
      <c r="G390" s="46">
        <v>0</v>
      </c>
      <c r="H390" s="46">
        <v>1</v>
      </c>
      <c r="I390" s="46" t="s">
        <v>780</v>
      </c>
      <c r="J390" s="45" t="s">
        <v>1060</v>
      </c>
      <c r="K390" s="46" t="s">
        <v>791</v>
      </c>
      <c r="L390" s="45" t="s">
        <v>1307</v>
      </c>
      <c r="M390" s="46">
        <v>152</v>
      </c>
      <c r="N390" s="46" t="s">
        <v>1061</v>
      </c>
      <c r="O390" s="46">
        <v>1</v>
      </c>
      <c r="P390" s="45" t="s">
        <v>1308</v>
      </c>
      <c r="Q390" s="47" t="s">
        <v>776</v>
      </c>
      <c r="R390" s="45" t="s">
        <v>784</v>
      </c>
    </row>
    <row r="391" spans="1:18" ht="32.1" hidden="1" customHeight="1">
      <c r="A391" s="46">
        <v>24</v>
      </c>
      <c r="B391" s="45" t="s">
        <v>249</v>
      </c>
      <c r="C391" s="45" t="s">
        <v>25</v>
      </c>
      <c r="D391" s="45" t="s">
        <v>250</v>
      </c>
      <c r="E391" s="45" t="s">
        <v>838</v>
      </c>
      <c r="F391" s="46" t="s">
        <v>802</v>
      </c>
      <c r="G391" s="46">
        <v>0</v>
      </c>
      <c r="H391" s="46">
        <v>1</v>
      </c>
      <c r="I391" s="46" t="s">
        <v>780</v>
      </c>
      <c r="J391" s="45" t="s">
        <v>1060</v>
      </c>
      <c r="K391" s="46" t="s">
        <v>782</v>
      </c>
      <c r="L391" s="45" t="s">
        <v>1307</v>
      </c>
      <c r="M391" s="46">
        <v>153</v>
      </c>
      <c r="N391" s="46" t="s">
        <v>1063</v>
      </c>
      <c r="O391" s="46">
        <v>2</v>
      </c>
      <c r="P391" s="45" t="s">
        <v>1308</v>
      </c>
      <c r="Q391" s="47" t="s">
        <v>776</v>
      </c>
      <c r="R391" s="45" t="s">
        <v>784</v>
      </c>
    </row>
    <row r="392" spans="1:18" ht="32.1" hidden="1" customHeight="1">
      <c r="A392" s="46">
        <v>24</v>
      </c>
      <c r="B392" s="45" t="s">
        <v>249</v>
      </c>
      <c r="C392" s="45" t="s">
        <v>25</v>
      </c>
      <c r="D392" s="45" t="s">
        <v>250</v>
      </c>
      <c r="E392" s="45" t="s">
        <v>838</v>
      </c>
      <c r="F392" s="46" t="s">
        <v>794</v>
      </c>
      <c r="G392" s="46">
        <v>0</v>
      </c>
      <c r="H392" s="46">
        <v>1</v>
      </c>
      <c r="I392" s="46" t="s">
        <v>780</v>
      </c>
      <c r="J392" s="45" t="s">
        <v>1001</v>
      </c>
      <c r="K392" s="46" t="s">
        <v>824</v>
      </c>
      <c r="L392" s="45" t="s">
        <v>1307</v>
      </c>
      <c r="M392" s="46">
        <v>154</v>
      </c>
      <c r="N392" s="46" t="s">
        <v>1003</v>
      </c>
      <c r="O392" s="46">
        <v>1</v>
      </c>
      <c r="P392" s="45" t="s">
        <v>1308</v>
      </c>
      <c r="Q392" s="47" t="s">
        <v>776</v>
      </c>
      <c r="R392" s="45" t="s">
        <v>784</v>
      </c>
    </row>
    <row r="393" spans="1:18" ht="32.1" hidden="1" customHeight="1">
      <c r="A393" s="46">
        <v>24</v>
      </c>
      <c r="B393" s="45" t="s">
        <v>249</v>
      </c>
      <c r="C393" s="45" t="s">
        <v>25</v>
      </c>
      <c r="D393" s="45" t="s">
        <v>250</v>
      </c>
      <c r="E393" s="45" t="s">
        <v>838</v>
      </c>
      <c r="F393" s="46" t="s">
        <v>804</v>
      </c>
      <c r="G393" s="46">
        <v>0</v>
      </c>
      <c r="H393" s="46">
        <v>1</v>
      </c>
      <c r="I393" s="46" t="s">
        <v>780</v>
      </c>
      <c r="J393" s="45" t="s">
        <v>888</v>
      </c>
      <c r="K393" s="46" t="s">
        <v>826</v>
      </c>
      <c r="L393" s="45" t="s">
        <v>1307</v>
      </c>
      <c r="M393" s="46">
        <v>155</v>
      </c>
      <c r="N393" s="46" t="s">
        <v>889</v>
      </c>
      <c r="O393" s="46">
        <v>2</v>
      </c>
      <c r="P393" s="45" t="s">
        <v>1308</v>
      </c>
      <c r="Q393" s="47" t="s">
        <v>776</v>
      </c>
      <c r="R393" s="45" t="s">
        <v>784</v>
      </c>
    </row>
    <row r="394" spans="1:18" ht="32.1" hidden="1" customHeight="1">
      <c r="A394" s="46">
        <v>24</v>
      </c>
      <c r="B394" s="45" t="s">
        <v>249</v>
      </c>
      <c r="C394" s="45" t="s">
        <v>25</v>
      </c>
      <c r="D394" s="45" t="s">
        <v>250</v>
      </c>
      <c r="E394" s="45" t="s">
        <v>838</v>
      </c>
      <c r="F394" s="46" t="s">
        <v>879</v>
      </c>
      <c r="G394" s="46">
        <v>0</v>
      </c>
      <c r="H394" s="46">
        <v>1</v>
      </c>
      <c r="I394" s="46" t="s">
        <v>780</v>
      </c>
      <c r="J394" s="45" t="s">
        <v>787</v>
      </c>
      <c r="K394" s="46" t="s">
        <v>806</v>
      </c>
      <c r="L394" s="45" t="s">
        <v>1307</v>
      </c>
      <c r="M394" s="46">
        <v>156</v>
      </c>
      <c r="N394" s="46" t="s">
        <v>872</v>
      </c>
      <c r="O394" s="46">
        <v>1</v>
      </c>
      <c r="P394" s="45" t="s">
        <v>1308</v>
      </c>
      <c r="Q394" s="47" t="s">
        <v>776</v>
      </c>
      <c r="R394" s="45" t="s">
        <v>784</v>
      </c>
    </row>
    <row r="395" spans="1:18" ht="32.1" hidden="1" customHeight="1">
      <c r="A395" s="46">
        <v>24</v>
      </c>
      <c r="B395" s="45" t="s">
        <v>249</v>
      </c>
      <c r="C395" s="45" t="s">
        <v>25</v>
      </c>
      <c r="D395" s="45" t="s">
        <v>250</v>
      </c>
      <c r="E395" s="45" t="s">
        <v>838</v>
      </c>
      <c r="F395" s="46" t="s">
        <v>879</v>
      </c>
      <c r="G395" s="46">
        <v>0</v>
      </c>
      <c r="H395" s="46">
        <v>2</v>
      </c>
      <c r="I395" s="46" t="s">
        <v>843</v>
      </c>
      <c r="J395" s="45" t="s">
        <v>1042</v>
      </c>
      <c r="K395" s="46"/>
      <c r="L395" s="45" t="s">
        <v>1307</v>
      </c>
      <c r="M395" s="46">
        <v>156</v>
      </c>
      <c r="N395" s="46" t="s">
        <v>845</v>
      </c>
      <c r="O395" s="46">
        <v>1</v>
      </c>
      <c r="P395" s="45" t="s">
        <v>1308</v>
      </c>
      <c r="Q395" s="47" t="s">
        <v>776</v>
      </c>
      <c r="R395" s="45" t="s">
        <v>784</v>
      </c>
    </row>
    <row r="396" spans="1:18" ht="32.1" hidden="1" customHeight="1">
      <c r="A396" s="46">
        <v>24</v>
      </c>
      <c r="B396" s="45" t="s">
        <v>249</v>
      </c>
      <c r="C396" s="45" t="s">
        <v>25</v>
      </c>
      <c r="D396" s="45" t="s">
        <v>250</v>
      </c>
      <c r="E396" s="45" t="s">
        <v>838</v>
      </c>
      <c r="F396" s="46" t="s">
        <v>879</v>
      </c>
      <c r="G396" s="46">
        <v>0</v>
      </c>
      <c r="H396" s="46">
        <v>3</v>
      </c>
      <c r="I396" s="46" t="s">
        <v>771</v>
      </c>
      <c r="J396" s="45" t="s">
        <v>981</v>
      </c>
      <c r="K396" s="46"/>
      <c r="L396" s="45" t="s">
        <v>1307</v>
      </c>
      <c r="M396" s="46">
        <v>156</v>
      </c>
      <c r="N396" s="46" t="s">
        <v>774</v>
      </c>
      <c r="O396" s="46">
        <v>50</v>
      </c>
      <c r="P396" s="45" t="s">
        <v>1308</v>
      </c>
      <c r="Q396" s="47" t="s">
        <v>776</v>
      </c>
      <c r="R396" s="45" t="s">
        <v>777</v>
      </c>
    </row>
    <row r="397" spans="1:18" ht="32.1" hidden="1" customHeight="1">
      <c r="A397" s="46">
        <v>24</v>
      </c>
      <c r="B397" s="45" t="s">
        <v>249</v>
      </c>
      <c r="C397" s="45" t="s">
        <v>25</v>
      </c>
      <c r="D397" s="45" t="s">
        <v>250</v>
      </c>
      <c r="E397" s="45" t="s">
        <v>838</v>
      </c>
      <c r="F397" s="46" t="s">
        <v>883</v>
      </c>
      <c r="G397" s="46">
        <v>0</v>
      </c>
      <c r="H397" s="46">
        <v>1</v>
      </c>
      <c r="I397" s="46" t="s">
        <v>780</v>
      </c>
      <c r="J397" s="45" t="s">
        <v>1060</v>
      </c>
      <c r="K397" s="46" t="s">
        <v>791</v>
      </c>
      <c r="L397" s="45" t="s">
        <v>1307</v>
      </c>
      <c r="M397" s="46">
        <v>163</v>
      </c>
      <c r="N397" s="46" t="s">
        <v>1061</v>
      </c>
      <c r="O397" s="46">
        <v>1</v>
      </c>
      <c r="P397" s="45" t="s">
        <v>1308</v>
      </c>
      <c r="Q397" s="47" t="s">
        <v>776</v>
      </c>
      <c r="R397" s="45" t="s">
        <v>784</v>
      </c>
    </row>
    <row r="398" spans="1:18" ht="32.1" hidden="1" customHeight="1">
      <c r="A398" s="48">
        <v>24</v>
      </c>
      <c r="B398" s="49" t="s">
        <v>249</v>
      </c>
      <c r="C398" s="49" t="s">
        <v>25</v>
      </c>
      <c r="D398" s="49" t="s">
        <v>250</v>
      </c>
      <c r="E398" s="49" t="s">
        <v>838</v>
      </c>
      <c r="F398" s="48" t="s">
        <v>1213</v>
      </c>
      <c r="G398" s="48">
        <v>0</v>
      </c>
      <c r="H398" s="48">
        <v>1</v>
      </c>
      <c r="I398" s="48" t="s">
        <v>780</v>
      </c>
      <c r="J398" s="49" t="s">
        <v>1310</v>
      </c>
      <c r="K398" s="48" t="s">
        <v>791</v>
      </c>
      <c r="L398" s="49" t="s">
        <v>1307</v>
      </c>
      <c r="M398" s="48">
        <v>188</v>
      </c>
      <c r="N398" s="48" t="s">
        <v>1311</v>
      </c>
      <c r="O398" s="48">
        <v>1</v>
      </c>
      <c r="P398" s="49" t="s">
        <v>1308</v>
      </c>
      <c r="Q398" s="50" t="s">
        <v>851</v>
      </c>
      <c r="R398" s="49" t="s">
        <v>1312</v>
      </c>
    </row>
    <row r="399" spans="1:18" ht="32.1" hidden="1" customHeight="1">
      <c r="A399" s="46">
        <v>25</v>
      </c>
      <c r="B399" s="45" t="s">
        <v>258</v>
      </c>
      <c r="C399" s="45" t="s">
        <v>260</v>
      </c>
      <c r="D399" s="45" t="s">
        <v>259</v>
      </c>
      <c r="E399" s="45" t="s">
        <v>1313</v>
      </c>
      <c r="F399" s="46" t="s">
        <v>770</v>
      </c>
      <c r="G399" s="46">
        <v>48</v>
      </c>
      <c r="H399" s="46">
        <v>1</v>
      </c>
      <c r="I399" s="46" t="s">
        <v>771</v>
      </c>
      <c r="J399" s="45" t="s">
        <v>772</v>
      </c>
      <c r="K399" s="46"/>
      <c r="L399" s="45" t="s">
        <v>1314</v>
      </c>
      <c r="M399" s="46">
        <v>121</v>
      </c>
      <c r="N399" s="46" t="s">
        <v>774</v>
      </c>
      <c r="O399" s="46">
        <v>50</v>
      </c>
      <c r="P399" s="45" t="s">
        <v>1315</v>
      </c>
      <c r="Q399" s="47" t="s">
        <v>776</v>
      </c>
      <c r="R399" s="45" t="s">
        <v>777</v>
      </c>
    </row>
    <row r="400" spans="1:18" ht="32.1" hidden="1" customHeight="1">
      <c r="A400" s="46">
        <v>25</v>
      </c>
      <c r="B400" s="45" t="s">
        <v>258</v>
      </c>
      <c r="C400" s="45" t="s">
        <v>260</v>
      </c>
      <c r="D400" s="45" t="s">
        <v>259</v>
      </c>
      <c r="E400" s="45" t="s">
        <v>1316</v>
      </c>
      <c r="F400" s="46" t="s">
        <v>842</v>
      </c>
      <c r="G400" s="46">
        <v>32</v>
      </c>
      <c r="H400" s="46">
        <v>1</v>
      </c>
      <c r="I400" s="46" t="s">
        <v>780</v>
      </c>
      <c r="J400" s="45" t="s">
        <v>916</v>
      </c>
      <c r="K400" s="46" t="s">
        <v>926</v>
      </c>
      <c r="L400" s="45" t="s">
        <v>1314</v>
      </c>
      <c r="M400" s="46">
        <v>122</v>
      </c>
      <c r="N400" s="46" t="s">
        <v>1317</v>
      </c>
      <c r="O400" s="46">
        <v>2</v>
      </c>
      <c r="P400" s="45" t="s">
        <v>1315</v>
      </c>
      <c r="Q400" s="47" t="s">
        <v>776</v>
      </c>
      <c r="R400" s="45" t="s">
        <v>784</v>
      </c>
    </row>
    <row r="401" spans="1:18" ht="32.1" hidden="1" customHeight="1">
      <c r="A401" s="46">
        <v>25</v>
      </c>
      <c r="B401" s="45" t="s">
        <v>258</v>
      </c>
      <c r="C401" s="45" t="s">
        <v>260</v>
      </c>
      <c r="D401" s="45" t="s">
        <v>259</v>
      </c>
      <c r="E401" s="45" t="s">
        <v>1318</v>
      </c>
      <c r="F401" s="46" t="s">
        <v>809</v>
      </c>
      <c r="G401" s="46">
        <v>40</v>
      </c>
      <c r="H401" s="46">
        <v>1</v>
      </c>
      <c r="I401" s="46" t="s">
        <v>780</v>
      </c>
      <c r="J401" s="45" t="s">
        <v>781</v>
      </c>
      <c r="K401" s="46" t="s">
        <v>795</v>
      </c>
      <c r="L401" s="45" t="s">
        <v>1314</v>
      </c>
      <c r="M401" s="46">
        <v>123</v>
      </c>
      <c r="N401" s="46" t="s">
        <v>1319</v>
      </c>
      <c r="O401" s="46">
        <v>1</v>
      </c>
      <c r="P401" s="45" t="s">
        <v>1315</v>
      </c>
      <c r="Q401" s="47" t="s">
        <v>776</v>
      </c>
      <c r="R401" s="45" t="s">
        <v>784</v>
      </c>
    </row>
    <row r="402" spans="1:18" ht="32.1" hidden="1" customHeight="1">
      <c r="A402" s="46">
        <v>25</v>
      </c>
      <c r="B402" s="45" t="s">
        <v>258</v>
      </c>
      <c r="C402" s="45" t="s">
        <v>260</v>
      </c>
      <c r="D402" s="45" t="s">
        <v>259</v>
      </c>
      <c r="E402" s="45" t="s">
        <v>1320</v>
      </c>
      <c r="F402" s="46" t="s">
        <v>848</v>
      </c>
      <c r="G402" s="46">
        <v>24</v>
      </c>
      <c r="H402" s="46">
        <v>1</v>
      </c>
      <c r="I402" s="46" t="s">
        <v>780</v>
      </c>
      <c r="J402" s="45" t="s">
        <v>787</v>
      </c>
      <c r="K402" s="46" t="s">
        <v>813</v>
      </c>
      <c r="L402" s="45" t="s">
        <v>1314</v>
      </c>
      <c r="M402" s="46">
        <v>124</v>
      </c>
      <c r="N402" s="46" t="s">
        <v>837</v>
      </c>
      <c r="O402" s="46">
        <v>1</v>
      </c>
      <c r="P402" s="45" t="s">
        <v>1315</v>
      </c>
      <c r="Q402" s="47" t="s">
        <v>776</v>
      </c>
      <c r="R402" s="45" t="s">
        <v>784</v>
      </c>
    </row>
    <row r="403" spans="1:18" ht="32.1" hidden="1" customHeight="1">
      <c r="A403" s="46">
        <v>25</v>
      </c>
      <c r="B403" s="45" t="s">
        <v>258</v>
      </c>
      <c r="C403" s="45" t="s">
        <v>260</v>
      </c>
      <c r="D403" s="45" t="s">
        <v>259</v>
      </c>
      <c r="E403" s="45" t="s">
        <v>1321</v>
      </c>
      <c r="F403" s="46" t="s">
        <v>836</v>
      </c>
      <c r="G403" s="46">
        <v>103</v>
      </c>
      <c r="H403" s="46">
        <v>1</v>
      </c>
      <c r="I403" s="46" t="s">
        <v>780</v>
      </c>
      <c r="J403" s="45" t="s">
        <v>787</v>
      </c>
      <c r="K403" s="46" t="s">
        <v>815</v>
      </c>
      <c r="L403" s="45" t="s">
        <v>1314</v>
      </c>
      <c r="M403" s="46">
        <v>125</v>
      </c>
      <c r="N403" s="46" t="s">
        <v>1045</v>
      </c>
      <c r="O403" s="46">
        <v>1</v>
      </c>
      <c r="P403" s="45" t="s">
        <v>1315</v>
      </c>
      <c r="Q403" s="47" t="s">
        <v>776</v>
      </c>
      <c r="R403" s="45" t="s">
        <v>784</v>
      </c>
    </row>
    <row r="404" spans="1:18" ht="32.1" hidden="1" customHeight="1">
      <c r="A404" s="46">
        <v>25</v>
      </c>
      <c r="B404" s="45" t="s">
        <v>258</v>
      </c>
      <c r="C404" s="45" t="s">
        <v>260</v>
      </c>
      <c r="D404" s="45" t="s">
        <v>259</v>
      </c>
      <c r="E404" s="45" t="s">
        <v>1322</v>
      </c>
      <c r="F404" s="46" t="s">
        <v>798</v>
      </c>
      <c r="G404" s="46">
        <v>16</v>
      </c>
      <c r="H404" s="46">
        <v>1</v>
      </c>
      <c r="I404" s="46" t="s">
        <v>780</v>
      </c>
      <c r="J404" s="45" t="s">
        <v>874</v>
      </c>
      <c r="K404" s="46" t="s">
        <v>829</v>
      </c>
      <c r="L404" s="45" t="s">
        <v>1314</v>
      </c>
      <c r="M404" s="46">
        <v>126</v>
      </c>
      <c r="N404" s="46" t="s">
        <v>1323</v>
      </c>
      <c r="O404" s="46">
        <v>1</v>
      </c>
      <c r="P404" s="45" t="s">
        <v>1315</v>
      </c>
      <c r="Q404" s="47" t="s">
        <v>776</v>
      </c>
      <c r="R404" s="45" t="s">
        <v>784</v>
      </c>
    </row>
    <row r="405" spans="1:18" ht="32.1" hidden="1" customHeight="1">
      <c r="A405" s="46">
        <v>25</v>
      </c>
      <c r="B405" s="45" t="s">
        <v>258</v>
      </c>
      <c r="C405" s="45" t="s">
        <v>260</v>
      </c>
      <c r="D405" s="45" t="s">
        <v>259</v>
      </c>
      <c r="E405" s="45" t="s">
        <v>1324</v>
      </c>
      <c r="F405" s="46" t="s">
        <v>786</v>
      </c>
      <c r="G405" s="46">
        <v>44</v>
      </c>
      <c r="H405" s="46">
        <v>1</v>
      </c>
      <c r="I405" s="46" t="s">
        <v>843</v>
      </c>
      <c r="J405" s="45" t="s">
        <v>1325</v>
      </c>
      <c r="K405" s="46"/>
      <c r="L405" s="45" t="s">
        <v>1314</v>
      </c>
      <c r="M405" s="46">
        <v>127</v>
      </c>
      <c r="N405" s="46" t="s">
        <v>845</v>
      </c>
      <c r="O405" s="46">
        <v>1</v>
      </c>
      <c r="P405" s="45" t="s">
        <v>1315</v>
      </c>
      <c r="Q405" s="47" t="s">
        <v>776</v>
      </c>
      <c r="R405" s="45" t="s">
        <v>784</v>
      </c>
    </row>
    <row r="406" spans="1:18" ht="32.1" hidden="1" customHeight="1">
      <c r="A406" s="46">
        <v>25</v>
      </c>
      <c r="B406" s="45" t="s">
        <v>258</v>
      </c>
      <c r="C406" s="45" t="s">
        <v>260</v>
      </c>
      <c r="D406" s="45" t="s">
        <v>259</v>
      </c>
      <c r="E406" s="45" t="s">
        <v>1326</v>
      </c>
      <c r="F406" s="46" t="s">
        <v>802</v>
      </c>
      <c r="G406" s="46">
        <v>20</v>
      </c>
      <c r="H406" s="46">
        <v>1</v>
      </c>
      <c r="I406" s="46" t="s">
        <v>843</v>
      </c>
      <c r="J406" s="45" t="s">
        <v>1327</v>
      </c>
      <c r="K406" s="46"/>
      <c r="L406" s="45" t="s">
        <v>1314</v>
      </c>
      <c r="M406" s="46">
        <v>128</v>
      </c>
      <c r="N406" s="46" t="s">
        <v>845</v>
      </c>
      <c r="O406" s="46">
        <v>1</v>
      </c>
      <c r="P406" s="45" t="s">
        <v>1315</v>
      </c>
      <c r="Q406" s="47" t="s">
        <v>776</v>
      </c>
      <c r="R406" s="45" t="s">
        <v>784</v>
      </c>
    </row>
    <row r="407" spans="1:18" ht="32.1" hidden="1" customHeight="1">
      <c r="A407" s="46">
        <v>25</v>
      </c>
      <c r="B407" s="45" t="s">
        <v>258</v>
      </c>
      <c r="C407" s="45" t="s">
        <v>260</v>
      </c>
      <c r="D407" s="45" t="s">
        <v>259</v>
      </c>
      <c r="E407" s="45" t="s">
        <v>1024</v>
      </c>
      <c r="F407" s="46" t="s">
        <v>794</v>
      </c>
      <c r="G407" s="46">
        <v>24</v>
      </c>
      <c r="H407" s="46">
        <v>1</v>
      </c>
      <c r="I407" s="46" t="s">
        <v>780</v>
      </c>
      <c r="J407" s="45" t="s">
        <v>810</v>
      </c>
      <c r="K407" s="46" t="s">
        <v>819</v>
      </c>
      <c r="L407" s="45" t="s">
        <v>1314</v>
      </c>
      <c r="M407" s="46">
        <v>129</v>
      </c>
      <c r="N407" s="46" t="s">
        <v>820</v>
      </c>
      <c r="O407" s="46">
        <v>1</v>
      </c>
      <c r="P407" s="45" t="s">
        <v>1315</v>
      </c>
      <c r="Q407" s="47" t="s">
        <v>776</v>
      </c>
      <c r="R407" s="45" t="s">
        <v>784</v>
      </c>
    </row>
    <row r="408" spans="1:18" ht="32.1" hidden="1" customHeight="1">
      <c r="A408" s="46">
        <v>25</v>
      </c>
      <c r="B408" s="45" t="s">
        <v>258</v>
      </c>
      <c r="C408" s="45" t="s">
        <v>260</v>
      </c>
      <c r="D408" s="45" t="s">
        <v>259</v>
      </c>
      <c r="E408" s="45" t="s">
        <v>1025</v>
      </c>
      <c r="F408" s="46" t="s">
        <v>804</v>
      </c>
      <c r="G408" s="46">
        <v>129</v>
      </c>
      <c r="H408" s="46">
        <v>1</v>
      </c>
      <c r="I408" s="46" t="s">
        <v>843</v>
      </c>
      <c r="J408" s="45" t="s">
        <v>1328</v>
      </c>
      <c r="K408" s="46"/>
      <c r="L408" s="45" t="s">
        <v>1314</v>
      </c>
      <c r="M408" s="46">
        <v>130</v>
      </c>
      <c r="N408" s="46" t="s">
        <v>845</v>
      </c>
      <c r="O408" s="46">
        <v>1</v>
      </c>
      <c r="P408" s="45" t="s">
        <v>1315</v>
      </c>
      <c r="Q408" s="47" t="s">
        <v>776</v>
      </c>
      <c r="R408" s="45" t="s">
        <v>784</v>
      </c>
    </row>
    <row r="409" spans="1:18" ht="32.1" hidden="1" customHeight="1">
      <c r="A409" s="46">
        <v>25</v>
      </c>
      <c r="B409" s="45" t="s">
        <v>258</v>
      </c>
      <c r="C409" s="45" t="s">
        <v>260</v>
      </c>
      <c r="D409" s="45" t="s">
        <v>259</v>
      </c>
      <c r="E409" s="45" t="s">
        <v>1228</v>
      </c>
      <c r="F409" s="46" t="s">
        <v>879</v>
      </c>
      <c r="G409" s="46">
        <v>143</v>
      </c>
      <c r="H409" s="46">
        <v>1</v>
      </c>
      <c r="I409" s="46" t="s">
        <v>780</v>
      </c>
      <c r="J409" s="45" t="s">
        <v>1329</v>
      </c>
      <c r="K409" s="46" t="s">
        <v>821</v>
      </c>
      <c r="L409" s="45" t="s">
        <v>1314</v>
      </c>
      <c r="M409" s="46">
        <v>131</v>
      </c>
      <c r="N409" s="46" t="s">
        <v>1330</v>
      </c>
      <c r="O409" s="46">
        <v>1</v>
      </c>
      <c r="P409" s="45" t="s">
        <v>1315</v>
      </c>
      <c r="Q409" s="47" t="s">
        <v>776</v>
      </c>
      <c r="R409" s="45" t="s">
        <v>784</v>
      </c>
    </row>
    <row r="410" spans="1:18" ht="32.1" hidden="1" customHeight="1">
      <c r="A410" s="46">
        <v>25</v>
      </c>
      <c r="B410" s="45" t="s">
        <v>258</v>
      </c>
      <c r="C410" s="45" t="s">
        <v>260</v>
      </c>
      <c r="D410" s="45" t="s">
        <v>259</v>
      </c>
      <c r="E410" s="45" t="s">
        <v>1331</v>
      </c>
      <c r="F410" s="46" t="s">
        <v>883</v>
      </c>
      <c r="G410" s="46">
        <v>156</v>
      </c>
      <c r="H410" s="46">
        <v>1</v>
      </c>
      <c r="I410" s="46" t="s">
        <v>780</v>
      </c>
      <c r="J410" s="45" t="s">
        <v>1329</v>
      </c>
      <c r="K410" s="46" t="s">
        <v>824</v>
      </c>
      <c r="L410" s="45" t="s">
        <v>1314</v>
      </c>
      <c r="M410" s="46">
        <v>132</v>
      </c>
      <c r="N410" s="46" t="s">
        <v>1332</v>
      </c>
      <c r="O410" s="46">
        <v>1</v>
      </c>
      <c r="P410" s="45" t="s">
        <v>1315</v>
      </c>
      <c r="Q410" s="47" t="s">
        <v>776</v>
      </c>
      <c r="R410" s="45" t="s">
        <v>784</v>
      </c>
    </row>
    <row r="411" spans="1:18" ht="32.1" hidden="1" customHeight="1">
      <c r="A411" s="46">
        <v>25</v>
      </c>
      <c r="B411" s="45" t="s">
        <v>258</v>
      </c>
      <c r="C411" s="45" t="s">
        <v>260</v>
      </c>
      <c r="D411" s="45" t="s">
        <v>259</v>
      </c>
      <c r="E411" s="45" t="s">
        <v>1051</v>
      </c>
      <c r="F411" s="46" t="s">
        <v>1036</v>
      </c>
      <c r="G411" s="46">
        <v>11</v>
      </c>
      <c r="H411" s="46">
        <v>1</v>
      </c>
      <c r="I411" s="46" t="s">
        <v>780</v>
      </c>
      <c r="J411" s="45" t="s">
        <v>1329</v>
      </c>
      <c r="K411" s="46" t="s">
        <v>821</v>
      </c>
      <c r="L411" s="45" t="s">
        <v>1314</v>
      </c>
      <c r="M411" s="46">
        <v>133</v>
      </c>
      <c r="N411" s="46" t="s">
        <v>1330</v>
      </c>
      <c r="O411" s="46">
        <v>1</v>
      </c>
      <c r="P411" s="45" t="s">
        <v>1315</v>
      </c>
      <c r="Q411" s="47" t="s">
        <v>776</v>
      </c>
      <c r="R411" s="45" t="s">
        <v>784</v>
      </c>
    </row>
    <row r="412" spans="1:18" ht="32.1" hidden="1" customHeight="1">
      <c r="A412" s="46">
        <v>25</v>
      </c>
      <c r="B412" s="45" t="s">
        <v>258</v>
      </c>
      <c r="C412" s="45" t="s">
        <v>260</v>
      </c>
      <c r="D412" s="45" t="s">
        <v>259</v>
      </c>
      <c r="E412" s="45" t="s">
        <v>1035</v>
      </c>
      <c r="F412" s="46" t="s">
        <v>1207</v>
      </c>
      <c r="G412" s="46">
        <v>1</v>
      </c>
      <c r="H412" s="46">
        <v>1</v>
      </c>
      <c r="I412" s="46" t="s">
        <v>780</v>
      </c>
      <c r="J412" s="45" t="s">
        <v>1329</v>
      </c>
      <c r="K412" s="46" t="s">
        <v>821</v>
      </c>
      <c r="L412" s="45" t="s">
        <v>1314</v>
      </c>
      <c r="M412" s="46">
        <v>139</v>
      </c>
      <c r="N412" s="46" t="s">
        <v>1330</v>
      </c>
      <c r="O412" s="46">
        <v>1</v>
      </c>
      <c r="P412" s="45" t="s">
        <v>1315</v>
      </c>
      <c r="Q412" s="47" t="s">
        <v>776</v>
      </c>
      <c r="R412" s="45" t="s">
        <v>784</v>
      </c>
    </row>
    <row r="413" spans="1:18" ht="32.1" hidden="1" customHeight="1">
      <c r="A413" s="46">
        <v>25</v>
      </c>
      <c r="B413" s="45" t="s">
        <v>258</v>
      </c>
      <c r="C413" s="45" t="s">
        <v>260</v>
      </c>
      <c r="D413" s="45" t="s">
        <v>259</v>
      </c>
      <c r="E413" s="45" t="s">
        <v>1333</v>
      </c>
      <c r="F413" s="46" t="s">
        <v>1201</v>
      </c>
      <c r="G413" s="46">
        <v>72</v>
      </c>
      <c r="H413" s="46">
        <v>1</v>
      </c>
      <c r="I413" s="46" t="s">
        <v>780</v>
      </c>
      <c r="J413" s="45" t="s">
        <v>787</v>
      </c>
      <c r="K413" s="46" t="s">
        <v>813</v>
      </c>
      <c r="L413" s="45" t="s">
        <v>1314</v>
      </c>
      <c r="M413" s="46">
        <v>146</v>
      </c>
      <c r="N413" s="46" t="s">
        <v>837</v>
      </c>
      <c r="O413" s="46">
        <v>1</v>
      </c>
      <c r="P413" s="45" t="s">
        <v>1315</v>
      </c>
      <c r="Q413" s="47" t="s">
        <v>776</v>
      </c>
      <c r="R413" s="45" t="s">
        <v>784</v>
      </c>
    </row>
    <row r="414" spans="1:18" ht="32.1" hidden="1" customHeight="1">
      <c r="A414" s="46">
        <v>25</v>
      </c>
      <c r="B414" s="45" t="s">
        <v>258</v>
      </c>
      <c r="C414" s="45" t="s">
        <v>260</v>
      </c>
      <c r="D414" s="45" t="s">
        <v>259</v>
      </c>
      <c r="E414" s="45" t="s">
        <v>1334</v>
      </c>
      <c r="F414" s="46" t="s">
        <v>1213</v>
      </c>
      <c r="G414" s="46">
        <v>2</v>
      </c>
      <c r="H414" s="46">
        <v>1</v>
      </c>
      <c r="I414" s="46" t="s">
        <v>780</v>
      </c>
      <c r="J414" s="45" t="s">
        <v>1335</v>
      </c>
      <c r="K414" s="46" t="s">
        <v>791</v>
      </c>
      <c r="L414" s="45" t="s">
        <v>1314</v>
      </c>
      <c r="M414" s="46">
        <v>152</v>
      </c>
      <c r="N414" s="46" t="s">
        <v>1336</v>
      </c>
      <c r="O414" s="46">
        <v>1</v>
      </c>
      <c r="P414" s="45" t="s">
        <v>1315</v>
      </c>
      <c r="Q414" s="47" t="s">
        <v>776</v>
      </c>
      <c r="R414" s="45" t="s">
        <v>784</v>
      </c>
    </row>
  </sheetData>
  <autoFilter ref="A6:R414" xr:uid="{00000000-0001-0000-0700-000000000000}">
    <filterColumn colId="16">
      <filters>
        <filter val="THIẾT KẾ MỚI"/>
      </filters>
    </filterColumn>
  </autoFilter>
  <mergeCells count="3">
    <mergeCell ref="A1:R1"/>
    <mergeCell ref="A2:R2"/>
    <mergeCell ref="A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quan</vt:lpstr>
      <vt:lpstr>Danh sách máy</vt:lpstr>
      <vt:lpstr>Mapping GTCEu</vt:lpstr>
      <vt:lpstr>Đối chiếu large_machine</vt:lpstr>
      <vt:lpstr>Ngoài phạm vi ZPM</vt:lpstr>
      <vt:lpstr>GTCEu API tham chiếu</vt:lpstr>
      <vt:lpstr>Phương pháp &amp; nguồn</vt:lpstr>
      <vt:lpstr>GTCEu có sẵn</vt:lpstr>
      <vt:lpstr>Block casing &amp; texture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 Uy Tín</cp:lastModifiedBy>
  <dcterms:modified xsi:type="dcterms:W3CDTF">2026-08-22T16:34:16Z</dcterms:modified>
</cp:coreProperties>
</file>